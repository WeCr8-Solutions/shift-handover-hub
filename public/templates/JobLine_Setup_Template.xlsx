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firstSheet="5" activeTab="7" tabRatio="500"/>
  </bookViews>
  <sheets>
    <sheet r:id="rId1" name="Instructions" sheetId="1"/>
    <sheet r:id="rId2" name="Teams" sheetId="2"/>
    <sheet r:id="rId3" name="Departments" sheetId="3"/>
    <sheet r:id="rId4" name="Stations" sheetId="4"/>
    <sheet r:id="rId5" name="Stations - Valid Values" sheetId="5"/>
    <sheet r:id="rId6" name="Users" sheetId="6"/>
    <sheet r:id="rId7" name="Users - Valid Values" sheetId="7"/>
    <sheet r:id="rId8" name="Work Orders" sheetId="8"/>
    <sheet r:id="rId9" name="Work Orders - Valid Values" sheetId="9"/>
    <sheet r:id="rId10" name="Routing Templates" sheetId="10"/>
    <sheet r:id="rId11" name="Routing Templates - Valid Values" sheetId="11"/>
  </sheets>
  <calcPr calcId="0" iterateCount="100" iterateDelta="0.001"/>
</workbook>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8" authorId="0">
      <text>
        <r>
          <rPr>
            <sz val="9"/>
            <color rgb="FF000000"/>
            <rFont val="Arial"/>
            <family val="2"/>
          </rPr>
          <t>[?] No 'Saw' Work Center Type in valid values list. Used 'Press Brake' as placeholder - update to correct type if available.</t>
        </r>
      </text>
    </comment>
  </commentList>
</comments>
</file>

<file path=xl/sharedStrings.xml><?xml version="1.0" encoding="utf-8"?>
<sst xmlns="http://schemas.openxmlformats.org/spreadsheetml/2006/main" count="321" uniqueCount="321">
  <si>
    <t>Sheet Name</t>
  </si>
  <si>
    <t>Column</t>
  </si>
  <si>
    <t>Required</t>
  </si>
  <si>
    <t>Valid Values</t>
  </si>
  <si>
    <t>Description</t>
  </si>
  <si>
    <t>General</t>
  </si>
  <si>
    <t/>
  </si>
  <si>
    <t>Fill out each sheet with your organization data. Team Names must match exactly across sheets.</t>
  </si>
  <si>
    <t>Teams</t>
  </si>
  <si>
    <t>Team Name</t>
  </si>
  <si>
    <t>Yes</t>
  </si>
  <si>
    <t>Unique name for the team (e.g., Day Shift Team)</t>
  </si>
  <si>
    <t>No</t>
  </si>
  <si>
    <t>Brief description of the team's purpose</t>
  </si>
  <si>
    <t>Shift Schedule</t>
  </si>
  <si>
    <t>Operating hours (e.g., 6:00 AM - 2:00 PM)</t>
  </si>
  <si>
    <t>Departments</t>
  </si>
  <si>
    <t>Department Name</t>
  </si>
  <si>
    <t>Name of the department (e.g., Machining)</t>
  </si>
  <si>
    <t>Must match a Team Name from the Teams sheet</t>
  </si>
  <si>
    <t>Brief description of the department</t>
  </si>
  <si>
    <t>Stations</t>
  </si>
  <si>
    <t>Station ID</t>
  </si>
  <si>
    <t>Unique identifier (e.g., CNC-001)</t>
  </si>
  <si>
    <t>Station Name</t>
  </si>
  <si>
    <t>Descriptive name for the station</t>
  </si>
  <si>
    <t>Work Center</t>
  </si>
  <si>
    <t>Physical area grouping (e.g., CNC Bay 1)</t>
  </si>
  <si>
    <t>Work Center Type</t>
  </si>
  <si>
    <t>See Valid Values sheet</t>
  </si>
  <si>
    <t>Type of work center</t>
  </si>
  <si>
    <t>Must match a Team Name if provided</t>
  </si>
  <si>
    <t>Department</t>
  </si>
  <si>
    <t>Department assignment</t>
  </si>
  <si>
    <t>Active</t>
  </si>
  <si>
    <t>yes, no</t>
  </si>
  <si>
    <t>Whether station is currently in use</t>
  </si>
  <si>
    <t>Users</t>
  </si>
  <si>
    <t>Email</t>
  </si>
  <si>
    <t>Valid email address</t>
  </si>
  <si>
    <t>Display Name</t>
  </si>
  <si>
    <t>User's display name</t>
  </si>
  <si>
    <t>App Role</t>
  </si>
  <si>
    <t>admin, supervisor, operator, viewer</t>
  </si>
  <si>
    <t>Application-level role</t>
  </si>
  <si>
    <t>Org Role</t>
  </si>
  <si>
    <t>owner, admin, member</t>
  </si>
  <si>
    <t>Organization-level role</t>
  </si>
  <si>
    <t>Team Role</t>
  </si>
  <si>
    <t>Team-level role</t>
  </si>
  <si>
    <t>Work Orders</t>
  </si>
  <si>
    <t>Work Order #</t>
  </si>
  <si>
    <t>Unique work order identifier</t>
  </si>
  <si>
    <t>Title</t>
  </si>
  <si>
    <t>Brief title for the work order</t>
  </si>
  <si>
    <t>Part Number</t>
  </si>
  <si>
    <t>Associated part number</t>
  </si>
  <si>
    <t>Operation #</t>
  </si>
  <si>
    <t>Operation/step number</t>
  </si>
  <si>
    <t>Quantity</t>
  </si>
  <si>
    <t>Number of parts</t>
  </si>
  <si>
    <t>Priority</t>
  </si>
  <si>
    <t>low, normal, high, urgent, critical</t>
  </si>
  <si>
    <t>Priority level</t>
  </si>
  <si>
    <t>Status</t>
  </si>
  <si>
    <t>pending, queued, in_progress, on_hold</t>
  </si>
  <si>
    <t>Current status</t>
  </si>
  <si>
    <t>Must match a Station ID if provided</t>
  </si>
  <si>
    <t>Due Date</t>
  </si>
  <si>
    <t>Format: YYYY-MM-DD</t>
  </si>
  <si>
    <t>Est. Duration</t>
  </si>
  <si>
    <t>Estimated minutes to complete</t>
  </si>
  <si>
    <t>Tags</t>
  </si>
  <si>
    <t>Comma-separated tags</t>
  </si>
  <si>
    <t>Detailed description</t>
  </si>
  <si>
    <t>Routing Templates</t>
  </si>
  <si>
    <t>Template Name</t>
  </si>
  <si>
    <t>Name of the routing template</t>
  </si>
  <si>
    <t>Part Number Pattern</t>
  </si>
  <si>
    <t>Wildcard pattern to match part numbers (e.g., PART-*)</t>
  </si>
  <si>
    <t>Step #</t>
  </si>
  <si>
    <t>Sequential step number within the template</t>
  </si>
  <si>
    <t>Operation Name</t>
  </si>
  <si>
    <t>Name of the operation/step</t>
  </si>
  <si>
    <t>Type</t>
  </si>
  <si>
    <t>Step type (quote, engineering, internal, etc.)</t>
  </si>
  <si>
    <t>Physical area where step is performed (must match a Station Work Center)</t>
  </si>
  <si>
    <t>Est. Duration (min)</t>
  </si>
  <si>
    <t>Estimated minutes to complete the step</t>
  </si>
  <si>
    <t>Vendor (if outside)</t>
  </si>
  <si>
    <t>Vendor name for outside processing steps</t>
  </si>
  <si>
    <t>Instructions</t>
  </si>
  <si>
    <t>Detailed instructions for the operation</t>
  </si>
  <si>
    <t>Processing Order</t>
  </si>
  <si>
    <t>Data is processed in this order to satisfy dependencies:</t>
  </si>
  <si>
    <t>1. Teams</t>
  </si>
  <si>
    <t>Teams are created first (no dependencies)</t>
  </si>
  <si>
    <t>2. Departments</t>
  </si>
  <si>
    <t>Departments depend on Teams</t>
  </si>
  <si>
    <t>3. Stations</t>
  </si>
  <si>
    <t>Stations depend on Teams and optionally Departments</t>
  </si>
  <si>
    <t>4. Users</t>
  </si>
  <si>
    <t>Users are queued for invitation (depend on Teams)</t>
  </si>
  <si>
    <t>5. Routing Templates</t>
  </si>
  <si>
    <t>Routing Templates define standard operation sequences</t>
  </si>
  <si>
    <t>6. Work Orders</t>
  </si>
  <si>
    <t>Work Orders depend on Teams and Stations</t>
  </si>
  <si>
    <t>Shift Schedule (optional)</t>
  </si>
  <si>
    <t>Day Shift Team</t>
  </si>
  <si>
    <t>Primary day shift operations team, 6AM-2PM</t>
  </si>
  <si>
    <t>6:00 AM - 2:00 PM</t>
  </si>
  <si>
    <t>Night Shift Team</t>
  </si>
  <si>
    <t>Night shift operations, 10PM-6AM</t>
  </si>
  <si>
    <t>10:00 PM - 6:00 AM</t>
  </si>
  <si>
    <t>Swing Shift Team</t>
  </si>
  <si>
    <t>Swing shift coverage, 2PM-10PM</t>
  </si>
  <si>
    <t>2:00 PM - 10:00 PM</t>
  </si>
  <si>
    <t>Welding Team</t>
  </si>
  <si>
    <t>Specialized welding and fabrication team</t>
  </si>
  <si>
    <t>7:00 AM - 3:30 PM</t>
  </si>
  <si>
    <t>Quality Team</t>
  </si>
  <si>
    <t>Quality assurance and inspection team</t>
  </si>
  <si>
    <t>Description (optional)</t>
  </si>
  <si>
    <t>Team Valid?</t>
  </si>
  <si>
    <t>Machining</t>
  </si>
  <si>
    <t>CNC milling and lathe operations</t>
  </si>
  <si>
    <t>✓</t>
  </si>
  <si>
    <t>Machining - Night</t>
  </si>
  <si>
    <t>CNC milling and lathe operations - night shift</t>
  </si>
  <si>
    <t>Fabrication</t>
  </si>
  <si>
    <t>Welding and sheet metal work</t>
  </si>
  <si>
    <t>Quality</t>
  </si>
  <si>
    <t>Inspection and QC operations</t>
  </si>
  <si>
    <t>Shipping</t>
  </si>
  <si>
    <t>Packaging and logistics</t>
  </si>
  <si>
    <t>Assembly</t>
  </si>
  <si>
    <t>Final assembly and hardware installation</t>
  </si>
  <si>
    <t>Cutting</t>
  </si>
  <si>
    <t>Saw and waterjet cutting operations</t>
  </si>
  <si>
    <t>Engineering</t>
  </si>
  <si>
    <t>Engineering review and CAM programming</t>
  </si>
  <si>
    <t>Admin</t>
  </si>
  <si>
    <t>Quoting, purchasing, and receiving operations</t>
  </si>
  <si>
    <t>Team Name (optional)</t>
  </si>
  <si>
    <t>Department (optional)</t>
  </si>
  <si>
    <t>Active (yes/no)</t>
  </si>
  <si>
    <t>CNC-001</t>
  </si>
  <si>
    <t>Haas VF-2 Mill #1</t>
  </si>
  <si>
    <t>CNC Bay 1</t>
  </si>
  <si>
    <t>CNC Mill</t>
  </si>
  <si>
    <t>yes</t>
  </si>
  <si>
    <t>CNC-002</t>
  </si>
  <si>
    <t>Haas VF-2 Mill #2</t>
  </si>
  <si>
    <t>LATHE-001</t>
  </si>
  <si>
    <t>Mazak QT-250 Lathe</t>
  </si>
  <si>
    <t>CNC Bay 2</t>
  </si>
  <si>
    <t>CNC Lathe</t>
  </si>
  <si>
    <t>WJ-001</t>
  </si>
  <si>
    <t>Flow Waterjet</t>
  </si>
  <si>
    <t>Cutting Area</t>
  </si>
  <si>
    <t>Water Jet</t>
  </si>
  <si>
    <t>WELD-001</t>
  </si>
  <si>
    <t>TIG Station 1</t>
  </si>
  <si>
    <t>Welding Bay</t>
  </si>
  <si>
    <t>TIG Welding</t>
  </si>
  <si>
    <t>INSP-001</t>
  </si>
  <si>
    <t>CMM Station</t>
  </si>
  <si>
    <t>Quality Lab</t>
  </si>
  <si>
    <t>Outgoing Inspection</t>
  </si>
  <si>
    <t>SAW-001</t>
  </si>
  <si>
    <t>Saw Station 1</t>
  </si>
  <si>
    <t>Band Saw</t>
  </si>
  <si>
    <t>DEB-001</t>
  </si>
  <si>
    <t>Deburr Station 1</t>
  </si>
  <si>
    <t>Finishing Area</t>
  </si>
  <si>
    <t>Deburr Station</t>
  </si>
  <si>
    <t>PKG-001</t>
  </si>
  <si>
    <t>Packaging Station 1</t>
  </si>
  <si>
    <t>Shipping Area</t>
  </si>
  <si>
    <t>CMM-001</t>
  </si>
  <si>
    <t>CMM Inspection 1</t>
  </si>
  <si>
    <t>Incoming Inspection</t>
  </si>
  <si>
    <t>QUOTE-001</t>
  </si>
  <si>
    <t>Quoting Station</t>
  </si>
  <si>
    <t>Front Office</t>
  </si>
  <si>
    <t>Quoting</t>
  </si>
  <si>
    <t>ENG-001</t>
  </si>
  <si>
    <t>Engineering Station</t>
  </si>
  <si>
    <t>Engineering Office</t>
  </si>
  <si>
    <t>Engineering Review</t>
  </si>
  <si>
    <t>CAM-001</t>
  </si>
  <si>
    <t>CAM Programming Station</t>
  </si>
  <si>
    <t>CAM Programming</t>
  </si>
  <si>
    <t>PUR-001</t>
  </si>
  <si>
    <t>Purchasing Station</t>
  </si>
  <si>
    <t>Purchasing</t>
  </si>
  <si>
    <t>REC-001</t>
  </si>
  <si>
    <t>Receiving Station</t>
  </si>
  <si>
    <t>Receiving Area</t>
  </si>
  <si>
    <t>Receiving</t>
  </si>
  <si>
    <t>TOOL-001</t>
  </si>
  <si>
    <t>Tool Crib Station</t>
  </si>
  <si>
    <t>Tool Crib Area</t>
  </si>
  <si>
    <t>Tool Crib</t>
  </si>
  <si>
    <t>FINSP-001</t>
  </si>
  <si>
    <t>Final Inspection Station</t>
  </si>
  <si>
    <t>Final Inspection</t>
  </si>
  <si>
    <t>GRIND-001</t>
  </si>
  <si>
    <t>Grinding Station</t>
  </si>
  <si>
    <t>Grinding</t>
  </si>
  <si>
    <t>ASSY-001</t>
  </si>
  <si>
    <t>Assembly Station 1</t>
  </si>
  <si>
    <t>Assembly Area</t>
  </si>
  <si>
    <t>Hardware Installation</t>
  </si>
  <si>
    <t>CNC Mill, CNC Lathe, Water Jet, Band Saw, Press Brake, TIG Welding, MIG Welding, Electron Beam Welding, Punch Press, Hardware Installation, Deburr Station, Shipping, Incoming Inspection, Outgoing Inspection, Tool Crib, Quoting, Engineering Review, CAM Programming, Purchasing, Receiving, Final Inspection, Grinding</t>
  </si>
  <si>
    <t>Org Role (optional)</t>
  </si>
  <si>
    <t>Team Role (optional)</t>
  </si>
  <si>
    <t>john.smith@company.com</t>
  </si>
  <si>
    <t>John Smith</t>
  </si>
  <si>
    <t>operator</t>
  </si>
  <si>
    <t>member</t>
  </si>
  <si>
    <t>jane.doe@company.com</t>
  </si>
  <si>
    <t>Jane Doe</t>
  </si>
  <si>
    <t>supervisor</t>
  </si>
  <si>
    <t>admin</t>
  </si>
  <si>
    <t>mike.wilson@company.com</t>
  </si>
  <si>
    <t>Mike Wilson</t>
  </si>
  <si>
    <t>sarah.johnson@company.com</t>
  </si>
  <si>
    <t>Sarah Johnson</t>
  </si>
  <si>
    <t>owner</t>
  </si>
  <si>
    <t>tom.brown@company.com</t>
  </si>
  <si>
    <t>Tom Brown</t>
  </si>
  <si>
    <t>viewer</t>
  </si>
  <si>
    <t>Part Number (optional)</t>
  </si>
  <si>
    <t>Operation # (optional)</t>
  </si>
  <si>
    <t>Quantity (optional)</t>
  </si>
  <si>
    <t>Station ID (optional)</t>
  </si>
  <si>
    <t>Due Date (YYYY-MM-DD)</t>
  </si>
  <si>
    <t>Tags (comma-separated)</t>
  </si>
  <si>
    <t>Station Valid?</t>
  </si>
  <si>
    <t>WO-2026-001</t>
  </si>
  <si>
    <t>Bracket Assembly</t>
  </si>
  <si>
    <t>BRK-1234</t>
  </si>
  <si>
    <t>10</t>
  </si>
  <si>
    <t>normal</t>
  </si>
  <si>
    <t>pending</t>
  </si>
  <si>
    <t>2026-03-15</t>
  </si>
  <si>
    <t>rush,aerospace</t>
  </si>
  <si>
    <t>Machine brackets per drawing REV-B</t>
  </si>
  <si>
    <t>WO-2026-002</t>
  </si>
  <si>
    <t>Housing Machining</t>
  </si>
  <si>
    <t>HSG-5678</t>
  </si>
  <si>
    <t>20</t>
  </si>
  <si>
    <t>high</t>
  </si>
  <si>
    <t>queued</t>
  </si>
  <si>
    <t>2026-03-12</t>
  </si>
  <si>
    <t>priority</t>
  </si>
  <si>
    <t>Turn housing components</t>
  </si>
  <si>
    <t>WO-2026-003</t>
  </si>
  <si>
    <t>Cover Plate Inspection</t>
  </si>
  <si>
    <t>CVR-9012</t>
  </si>
  <si>
    <t>30</t>
  </si>
  <si>
    <t>2026-03-20</t>
  </si>
  <si>
    <t>Final inspection of cover plates</t>
  </si>
  <si>
    <t>WO-2026-004</t>
  </si>
  <si>
    <t>Shaft Grinding</t>
  </si>
  <si>
    <t>SFT-3456</t>
  </si>
  <si>
    <t>40</t>
  </si>
  <si>
    <t>urgent</t>
  </si>
  <si>
    <t>2026-03-10</t>
  </si>
  <si>
    <t>hot-job,customer-urgent</t>
  </si>
  <si>
    <t>Precision grinding per spec</t>
  </si>
  <si>
    <t>WO-2026-005</t>
  </si>
  <si>
    <t>Prototype Frame</t>
  </si>
  <si>
    <t>FRM-7890</t>
  </si>
  <si>
    <t>critical</t>
  </si>
  <si>
    <t>in_progress</t>
  </si>
  <si>
    <t>2026-03-08</t>
  </si>
  <si>
    <t>prototype,engineering</t>
  </si>
  <si>
    <t>New product prototype frame</t>
  </si>
  <si>
    <t>Standard Manufacturing</t>
  </si>
  <si>
    <t>PART-*</t>
  </si>
  <si>
    <t>Quote Review &amp; Approval</t>
  </si>
  <si>
    <t>quote</t>
  </si>
  <si>
    <t>Review quote and customer requirements</t>
  </si>
  <si>
    <t>engineering</t>
  </si>
  <si>
    <t>Review drawings, tolerances, and material specs</t>
  </si>
  <si>
    <t>Programming/CAM</t>
  </si>
  <si>
    <t>Create CNC programs and toolpaths</t>
  </si>
  <si>
    <t>Materials Purchasing</t>
  </si>
  <si>
    <t>purchasing</t>
  </si>
  <si>
    <t>Order raw materials and special tooling</t>
  </si>
  <si>
    <t>Materials Receiving</t>
  </si>
  <si>
    <t>receiving</t>
  </si>
  <si>
    <t>Receive and verify material certifications</t>
  </si>
  <si>
    <t>inspection</t>
  </si>
  <si>
    <t>Verify material dimensions and condition</t>
  </si>
  <si>
    <t>Material Cutting/Prep</t>
  </si>
  <si>
    <t>internal</t>
  </si>
  <si>
    <t>Cut material to rough size</t>
  </si>
  <si>
    <t>Tool Setup &amp; Prep</t>
  </si>
  <si>
    <t>Pull and verify tooling, fixtures, and gages</t>
  </si>
  <si>
    <t>First Article Setup</t>
  </si>
  <si>
    <t>Setup machine and run first article</t>
  </si>
  <si>
    <t>First Article Inspection</t>
  </si>
  <si>
    <t>Full dimensional inspection per drawing</t>
  </si>
  <si>
    <t>Production Run</t>
  </si>
  <si>
    <t>Complete production quantity</t>
  </si>
  <si>
    <t>Deburr/Finish</t>
  </si>
  <si>
    <t>Remove burrs and clean parts</t>
  </si>
  <si>
    <t>Heat Treat</t>
  </si>
  <si>
    <t>outside_processing</t>
  </si>
  <si>
    <t>ABC Heat Treat</t>
  </si>
  <si>
    <t>HRC 58-62 per spec</t>
  </si>
  <si>
    <t>Final QC check before shipping</t>
  </si>
  <si>
    <t>Packaging</t>
  </si>
  <si>
    <t>Package per customer requirements</t>
  </si>
  <si>
    <t>Ship to Customer</t>
  </si>
  <si>
    <t>shipping</t>
  </si>
  <si>
    <t>Generate shipping labels and ship</t>
  </si>
  <si>
    <t>quote, engineering, purchasing, receiving, internal, outside_processing, inspection, shipping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</si>
</sst>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21" formatCode="yyyy-mm-dd"/>
  </numFmts>
  <fonts count="4">
    <font>
      <b val="0"/>
      <i val="0"/>
      <sz val="11"/>
      <color theme="1"/>
      <name val="Calibri"/>
      <scheme val="minor"/>
    </font>
    <font>
      <b/>
      <i val="0"/>
      <color auto="1"/>
      <name val="Calibri"/>
    </font>
    <font>
      <name val="Calibri"/>
      <scheme val="minor"/>
    </font>
    <font>
      <b/>
      <i val="0"/>
      <color auto="1"/>
      <name val="Calibri"/>
    </font>
  </fonts>
  <fills count="3">
    <fill>
      <patternFill patternType="none"/>
    </fill>
    <fill>
      <patternFill patternType="gray125"/>
    </fill>
    <fill>
      <patternFill patternType="solid">
        <fgColor rgb="FFE0E0E0"/>
      </patternFill>
    </fill>
  </fills>
  <borders count="2">
    <border>
      <left/>
      <right/>
      <top/>
      <bottom/>
    </border>
    <border>
      <left/>
      <right/>
      <top/>
      <bottom/>
      <diagonal/>
    </border>
  </borders>
  <cellStyleXfs count="1">
    <xf numFmtId="0" fontId="0" fillId="0" borderId="1"/>
  </cellStyleXfs>
  <cellXfs count="6">
    <xf numFmtId="0" fontId="0" fillId="0" borderId="1" xfId="0"/>
    <xf numFmtId="0" fontId="1" fillId="2" borderId="1" xfId="0"/>
    <xf numFmtId="0" fontId="2" fillId="0" borderId="0" xfId="0">
      <alignment vertical="top"/>
    </xf>
    <xf numFmtId="0" fontId="1" fillId="0" borderId="1" xfId="0"/>
    <xf numFmtId="0" fontId="3" fillId="2" borderId="1" xfId="0"/>
    <xf numFmtId="421" fontId="2" fillId="0" borderId="0" xfId="0">
      <alignment vertical="top"/>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tyles" Target="styles.xml"/><Relationship Id="rId13" Type="http://schemas.openxmlformats.org/officeDocument/2006/relationships/theme" Target="theme/theme1.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40DD0128-AE58-B4BB-C748-8FFA9BD996E8}" mc:Ignorable="x14ac xr xr2 xr3">
  <dimension ref="A1:CV10011"/>
  <sheetViews>
    <sheetView topLeftCell="A1" zoomScale="90" workbookViewId="0">
      <selection activeCell="A1" sqref="A1"/>
    </sheetView>
  </sheetViews>
  <sheetFormatPr defaultRowHeight="15" defaultColWidth="9.140625" customHeight="1"/>
  <cols>
    <col min="1" max="2" width="18.00390625" customWidth="1"/>
    <col min="3" max="3" width="10.00390625" customWidth="1"/>
    <col min="4" max="4" width="39.00390625" customWidth="1"/>
    <col min="5" max="5" width="50.00390625" customWidth="1"/>
  </cols>
  <sheetData>
    <row r="1" ht="16.5" customHeight="1" s="1" customFormat="1">
      <c r="A1" s="1" t="s">
        <v>0</v>
      </c>
      <c r="B1" s="1" t="s">
        <v>1</v>
      </c>
      <c r="C1" s="1" t="s">
        <v>2</v>
      </c>
      <c r="D1" s="1" t="s">
        <v>3</v>
      </c>
      <c r="E1" s="1" t="s">
        <v>4</v>
      </c>
    </row>
    <row r="2" ht="16.5" customHeight="1">
      <c r="A2" t="s">
        <v>5</v>
      </c>
      <c r="B2" t="s">
        <v>6</v>
      </c>
      <c r="C2" t="s">
        <v>6</v>
      </c>
      <c r="D2" t="s">
        <v>6</v>
      </c>
      <c r="E2" t="s">
        <v>7</v>
      </c>
    </row>
    <row r="3" ht="15" customHeight="1">
      <c r="A3" t="s">
        <v>6</v>
      </c>
      <c r="B3" t="s">
        <v>6</v>
      </c>
      <c r="C3" t="s">
        <v>6</v>
      </c>
      <c r="D3" t="s">
        <v>6</v>
      </c>
      <c r="E3" t="s">
        <v>6</v>
      </c>
    </row>
    <row r="4" ht="16.5" customHeight="1">
      <c r="A4" t="s">
        <v>8</v>
      </c>
      <c r="B4" t="s">
        <v>9</v>
      </c>
      <c r="C4" t="s">
        <v>10</v>
      </c>
      <c r="D4" t="s">
        <v>6</v>
      </c>
      <c r="E4" t="s">
        <v>11</v>
      </c>
    </row>
    <row r="5" ht="16.5" customHeight="1">
      <c r="A5" t="s">
        <v>8</v>
      </c>
      <c r="B5" t="s">
        <v>4</v>
      </c>
      <c r="C5" t="s">
        <v>12</v>
      </c>
      <c r="D5" t="s">
        <v>6</v>
      </c>
      <c r="E5" t="s">
        <v>13</v>
      </c>
    </row>
    <row r="6" ht="16.5" customHeight="1">
      <c r="A6" t="s">
        <v>8</v>
      </c>
      <c r="B6" t="s">
        <v>14</v>
      </c>
      <c r="C6" t="s">
        <v>12</v>
      </c>
      <c r="D6" t="s">
        <v>6</v>
      </c>
      <c r="E6" t="s">
        <v>15</v>
      </c>
    </row>
    <row r="7" ht="15" customHeight="1">
      <c r="A7" t="s">
        <v>6</v>
      </c>
      <c r="B7" t="s">
        <v>6</v>
      </c>
      <c r="C7" t="s">
        <v>6</v>
      </c>
      <c r="D7" t="s">
        <v>6</v>
      </c>
      <c r="E7" t="s">
        <v>6</v>
      </c>
    </row>
    <row r="8" ht="16.5" customHeight="1">
      <c r="A8" t="s">
        <v>16</v>
      </c>
      <c r="B8" t="s">
        <v>17</v>
      </c>
      <c r="C8" t="s">
        <v>10</v>
      </c>
      <c r="D8" t="s">
        <v>6</v>
      </c>
      <c r="E8" t="s">
        <v>18</v>
      </c>
    </row>
    <row r="9" ht="16.5" customHeight="1">
      <c r="A9" t="s">
        <v>16</v>
      </c>
      <c r="B9" t="s">
        <v>9</v>
      </c>
      <c r="C9" t="s">
        <v>10</v>
      </c>
      <c r="D9" t="s">
        <v>6</v>
      </c>
      <c r="E9" t="s">
        <v>19</v>
      </c>
    </row>
    <row r="10" ht="16.5" customHeight="1">
      <c r="A10" t="s">
        <v>16</v>
      </c>
      <c r="B10" t="s">
        <v>4</v>
      </c>
      <c r="C10" t="s">
        <v>12</v>
      </c>
      <c r="D10" t="s">
        <v>6</v>
      </c>
      <c r="E10" t="s">
        <v>20</v>
      </c>
    </row>
    <row r="11" ht="15" customHeight="1">
      <c r="A11" t="s">
        <v>6</v>
      </c>
      <c r="B11" t="s">
        <v>6</v>
      </c>
      <c r="C11" t="s">
        <v>6</v>
      </c>
      <c r="D11" t="s">
        <v>6</v>
      </c>
      <c r="E11" t="s">
        <v>6</v>
      </c>
    </row>
    <row r="12" ht="16.5" customHeight="1">
      <c r="A12" t="s">
        <v>21</v>
      </c>
      <c r="B12" t="s">
        <v>22</v>
      </c>
      <c r="C12" t="s">
        <v>10</v>
      </c>
      <c r="D12" t="s">
        <v>6</v>
      </c>
      <c r="E12" t="s">
        <v>23</v>
      </c>
    </row>
    <row r="13" ht="16.5" customHeight="1">
      <c r="A13" t="s">
        <v>21</v>
      </c>
      <c r="B13" t="s">
        <v>24</v>
      </c>
      <c r="C13" t="s">
        <v>10</v>
      </c>
      <c r="D13" t="s">
        <v>6</v>
      </c>
      <c r="E13" t="s">
        <v>25</v>
      </c>
    </row>
    <row r="14" ht="16.5" customHeight="1">
      <c r="A14" t="s">
        <v>21</v>
      </c>
      <c r="B14" t="s">
        <v>26</v>
      </c>
      <c r="C14" t="s">
        <v>10</v>
      </c>
      <c r="D14" t="s">
        <v>6</v>
      </c>
      <c r="E14" t="s">
        <v>27</v>
      </c>
    </row>
    <row r="15" ht="16.5" customHeight="1">
      <c r="A15" t="s">
        <v>21</v>
      </c>
      <c r="B15" t="s">
        <v>28</v>
      </c>
      <c r="C15" t="s">
        <v>10</v>
      </c>
      <c r="D15" t="s">
        <v>29</v>
      </c>
      <c r="E15" t="s">
        <v>30</v>
      </c>
    </row>
    <row r="16" ht="16.5" customHeight="1">
      <c r="A16" t="s">
        <v>21</v>
      </c>
      <c r="B16" t="s">
        <v>9</v>
      </c>
      <c r="C16" t="s">
        <v>12</v>
      </c>
      <c r="D16" t="s">
        <v>6</v>
      </c>
      <c r="E16" t="s">
        <v>31</v>
      </c>
    </row>
    <row r="17" ht="16.5" customHeight="1">
      <c r="A17" t="s">
        <v>21</v>
      </c>
      <c r="B17" t="s">
        <v>32</v>
      </c>
      <c r="C17" t="s">
        <v>12</v>
      </c>
      <c r="D17" t="s">
        <v>6</v>
      </c>
      <c r="E17" t="s">
        <v>33</v>
      </c>
    </row>
    <row r="18" ht="16.5" customHeight="1">
      <c r="A18" t="s">
        <v>21</v>
      </c>
      <c r="B18" t="s">
        <v>34</v>
      </c>
      <c r="C18" t="s">
        <v>12</v>
      </c>
      <c r="D18" t="s">
        <v>35</v>
      </c>
      <c r="E18" t="s">
        <v>36</v>
      </c>
    </row>
    <row r="19" ht="15" customHeight="1">
      <c r="A19" t="s">
        <v>6</v>
      </c>
      <c r="B19" t="s">
        <v>6</v>
      </c>
      <c r="C19" t="s">
        <v>6</v>
      </c>
      <c r="D19" t="s">
        <v>6</v>
      </c>
      <c r="E19" t="s">
        <v>6</v>
      </c>
    </row>
    <row r="20" ht="16.5" customHeight="1">
      <c r="A20" t="s">
        <v>37</v>
      </c>
      <c r="B20" t="s">
        <v>38</v>
      </c>
      <c r="C20" t="s">
        <v>10</v>
      </c>
      <c r="D20" t="s">
        <v>6</v>
      </c>
      <c r="E20" t="s">
        <v>39</v>
      </c>
    </row>
    <row r="21" ht="16.5" customHeight="1">
      <c r="A21" t="s">
        <v>37</v>
      </c>
      <c r="B21" t="s">
        <v>40</v>
      </c>
      <c r="C21" t="s">
        <v>10</v>
      </c>
      <c r="D21" t="s">
        <v>6</v>
      </c>
      <c r="E21" t="s">
        <v>41</v>
      </c>
    </row>
    <row r="22" ht="16.5" customHeight="1">
      <c r="A22" t="s">
        <v>37</v>
      </c>
      <c r="B22" t="s">
        <v>42</v>
      </c>
      <c r="C22" t="s">
        <v>10</v>
      </c>
      <c r="D22" t="s">
        <v>43</v>
      </c>
      <c r="E22" t="s">
        <v>44</v>
      </c>
    </row>
    <row r="23" ht="16.5" customHeight="1">
      <c r="A23" t="s">
        <v>37</v>
      </c>
      <c r="B23" t="s">
        <v>45</v>
      </c>
      <c r="C23" t="s">
        <v>12</v>
      </c>
      <c r="D23" t="s">
        <v>46</v>
      </c>
      <c r="E23" t="s">
        <v>47</v>
      </c>
    </row>
    <row r="24" ht="16.5" customHeight="1">
      <c r="A24" t="s">
        <v>37</v>
      </c>
      <c r="B24" t="s">
        <v>48</v>
      </c>
      <c r="C24" t="s">
        <v>12</v>
      </c>
      <c r="D24" t="s">
        <v>46</v>
      </c>
      <c r="E24" t="s">
        <v>49</v>
      </c>
    </row>
    <row r="25" ht="16.5" customHeight="1">
      <c r="A25" t="s">
        <v>37</v>
      </c>
      <c r="B25" t="s">
        <v>9</v>
      </c>
      <c r="C25" t="s">
        <v>12</v>
      </c>
      <c r="D25" t="s">
        <v>6</v>
      </c>
      <c r="E25" t="s">
        <v>31</v>
      </c>
    </row>
    <row r="26" ht="16.5" customHeight="1">
      <c r="A26" t="s">
        <v>37</v>
      </c>
      <c r="B26" t="s">
        <v>32</v>
      </c>
      <c r="C26" t="s">
        <v>12</v>
      </c>
      <c r="D26" t="s">
        <v>6</v>
      </c>
      <c r="E26" t="s">
        <v>33</v>
      </c>
    </row>
    <row r="27" ht="15" customHeight="1">
      <c r="A27" t="s">
        <v>6</v>
      </c>
      <c r="B27" t="s">
        <v>6</v>
      </c>
      <c r="C27" t="s">
        <v>6</v>
      </c>
      <c r="D27" t="s">
        <v>6</v>
      </c>
      <c r="E27" t="s">
        <v>6</v>
      </c>
    </row>
    <row r="28" ht="16.5" customHeight="1">
      <c r="A28" t="s">
        <v>50</v>
      </c>
      <c r="B28" t="s">
        <v>51</v>
      </c>
      <c r="C28" t="s">
        <v>10</v>
      </c>
      <c r="D28" t="s">
        <v>6</v>
      </c>
      <c r="E28" t="s">
        <v>52</v>
      </c>
    </row>
    <row r="29" ht="16.5" customHeight="1">
      <c r="A29" t="s">
        <v>50</v>
      </c>
      <c r="B29" t="s">
        <v>53</v>
      </c>
      <c r="C29" t="s">
        <v>10</v>
      </c>
      <c r="D29" t="s">
        <v>6</v>
      </c>
      <c r="E29" t="s">
        <v>54</v>
      </c>
    </row>
    <row r="30" ht="16.5" customHeight="1">
      <c r="A30" t="s">
        <v>50</v>
      </c>
      <c r="B30" t="s">
        <v>55</v>
      </c>
      <c r="C30" t="s">
        <v>12</v>
      </c>
      <c r="D30" t="s">
        <v>6</v>
      </c>
      <c r="E30" t="s">
        <v>56</v>
      </c>
    </row>
    <row r="31" ht="16.5" customHeight="1">
      <c r="A31" t="s">
        <v>50</v>
      </c>
      <c r="B31" t="s">
        <v>57</v>
      </c>
      <c r="C31" t="s">
        <v>12</v>
      </c>
      <c r="D31" t="s">
        <v>6</v>
      </c>
      <c r="E31" t="s">
        <v>58</v>
      </c>
    </row>
    <row r="32" ht="16.5" customHeight="1">
      <c r="A32" t="s">
        <v>50</v>
      </c>
      <c r="B32" t="s">
        <v>59</v>
      </c>
      <c r="C32" t="s">
        <v>12</v>
      </c>
      <c r="D32" t="s">
        <v>6</v>
      </c>
      <c r="E32" t="s">
        <v>60</v>
      </c>
    </row>
    <row r="33" ht="16.5" customHeight="1">
      <c r="A33" t="s">
        <v>50</v>
      </c>
      <c r="B33" t="s">
        <v>61</v>
      </c>
      <c r="C33" t="s">
        <v>12</v>
      </c>
      <c r="D33" t="s">
        <v>62</v>
      </c>
      <c r="E33" t="s">
        <v>63</v>
      </c>
    </row>
    <row r="34" ht="16.5" customHeight="1">
      <c r="A34" t="s">
        <v>50</v>
      </c>
      <c r="B34" t="s">
        <v>64</v>
      </c>
      <c r="C34" t="s">
        <v>12</v>
      </c>
      <c r="D34" t="s">
        <v>65</v>
      </c>
      <c r="E34" t="s">
        <v>66</v>
      </c>
    </row>
    <row r="35" ht="16.5" customHeight="1">
      <c r="A35" t="s">
        <v>50</v>
      </c>
      <c r="B35" t="s">
        <v>22</v>
      </c>
      <c r="C35" t="s">
        <v>12</v>
      </c>
      <c r="D35" t="s">
        <v>6</v>
      </c>
      <c r="E35" t="s">
        <v>67</v>
      </c>
    </row>
    <row r="36" ht="16.5" customHeight="1">
      <c r="A36" t="s">
        <v>50</v>
      </c>
      <c r="B36" t="s">
        <v>9</v>
      </c>
      <c r="C36" t="s">
        <v>12</v>
      </c>
      <c r="D36" t="s">
        <v>6</v>
      </c>
      <c r="E36" t="s">
        <v>31</v>
      </c>
    </row>
    <row r="37" ht="16.5" customHeight="1">
      <c r="A37" t="s">
        <v>50</v>
      </c>
      <c r="B37" t="s">
        <v>68</v>
      </c>
      <c r="C37" t="s">
        <v>12</v>
      </c>
      <c r="D37" t="s">
        <v>6</v>
      </c>
      <c r="E37" t="s">
        <v>69</v>
      </c>
    </row>
    <row r="38" ht="16.5" customHeight="1">
      <c r="A38" t="s">
        <v>50</v>
      </c>
      <c r="B38" t="s">
        <v>70</v>
      </c>
      <c r="C38" t="s">
        <v>12</v>
      </c>
      <c r="D38" t="s">
        <v>6</v>
      </c>
      <c r="E38" t="s">
        <v>71</v>
      </c>
    </row>
    <row r="39" ht="16.5" customHeight="1">
      <c r="A39" t="s">
        <v>50</v>
      </c>
      <c r="B39" t="s">
        <v>72</v>
      </c>
      <c r="C39" t="s">
        <v>12</v>
      </c>
      <c r="D39" t="s">
        <v>6</v>
      </c>
      <c r="E39" t="s">
        <v>73</v>
      </c>
    </row>
    <row r="40" ht="16.5" customHeight="1">
      <c r="A40" t="s">
        <v>50</v>
      </c>
      <c r="B40" t="s">
        <v>4</v>
      </c>
      <c r="C40" t="s">
        <v>12</v>
      </c>
      <c r="D40" t="s">
        <v>6</v>
      </c>
      <c r="E40" t="s">
        <v>74</v>
      </c>
    </row>
    <row r="42" ht="16.5" customHeight="1">
      <c r="A42" t="s">
        <v>75</v>
      </c>
      <c r="B42" t="s">
        <v>76</v>
      </c>
      <c r="C42" t="s">
        <v>10</v>
      </c>
      <c r="E42" t="s">
        <v>77</v>
      </c>
    </row>
    <row r="43" ht="16.5" customHeight="1">
      <c r="A43" t="s">
        <v>75</v>
      </c>
      <c r="B43" t="s">
        <v>78</v>
      </c>
      <c r="C43" t="s">
        <v>10</v>
      </c>
      <c r="E43" t="s">
        <v>79</v>
      </c>
    </row>
    <row r="44" ht="16.5" customHeight="1">
      <c r="A44" t="s">
        <v>75</v>
      </c>
      <c r="B44" t="s">
        <v>80</v>
      </c>
      <c r="C44" t="s">
        <v>10</v>
      </c>
      <c r="E44" t="s">
        <v>81</v>
      </c>
    </row>
    <row r="45" ht="16.5" customHeight="1">
      <c r="A45" t="s">
        <v>75</v>
      </c>
      <c r="B45" t="s">
        <v>82</v>
      </c>
      <c r="C45" t="s">
        <v>10</v>
      </c>
      <c r="E45" t="s">
        <v>83</v>
      </c>
    </row>
    <row r="46" ht="16.5" customHeight="1">
      <c r="A46" t="s">
        <v>75</v>
      </c>
      <c r="B46" t="s">
        <v>84</v>
      </c>
      <c r="C46" t="s">
        <v>10</v>
      </c>
      <c r="D46" t="s">
        <v>29</v>
      </c>
      <c r="E46" t="s">
        <v>85</v>
      </c>
    </row>
    <row r="47" ht="16.5" customHeight="1">
      <c r="A47" t="s">
        <v>75</v>
      </c>
      <c r="B47" t="s">
        <v>26</v>
      </c>
      <c r="C47" t="s">
        <v>12</v>
      </c>
      <c r="E47" t="s">
        <v>86</v>
      </c>
    </row>
    <row r="48" ht="16.5" customHeight="1">
      <c r="A48" t="s">
        <v>75</v>
      </c>
      <c r="B48" t="s">
        <v>87</v>
      </c>
      <c r="C48" t="s">
        <v>12</v>
      </c>
      <c r="E48" t="s">
        <v>88</v>
      </c>
    </row>
    <row r="49" ht="16.5" customHeight="1">
      <c r="A49" t="s">
        <v>75</v>
      </c>
      <c r="B49" t="s">
        <v>89</v>
      </c>
      <c r="C49" t="s">
        <v>12</v>
      </c>
      <c r="E49" t="s">
        <v>90</v>
      </c>
    </row>
    <row r="50" ht="16.5" customHeight="1">
      <c r="A50" t="s">
        <v>75</v>
      </c>
      <c r="B50" t="s">
        <v>91</v>
      </c>
      <c r="C50" t="s">
        <v>12</v>
      </c>
      <c r="E50" t="s">
        <v>92</v>
      </c>
    </row>
    <row r="52" ht="15" customHeight="1">
      <c r="A52" t="s">
        <v>6</v>
      </c>
      <c r="B52" t="s">
        <v>6</v>
      </c>
      <c r="C52" t="s">
        <v>6</v>
      </c>
      <c r="D52" t="s">
        <v>6</v>
      </c>
      <c r="E52" t="s">
        <v>6</v>
      </c>
    </row>
    <row r="53" ht="16.5" customHeight="1">
      <c r="A53" t="s">
        <v>93</v>
      </c>
      <c r="B53" t="s">
        <v>6</v>
      </c>
      <c r="C53" t="s">
        <v>6</v>
      </c>
      <c r="D53" t="s">
        <v>6</v>
      </c>
      <c r="E53" t="s">
        <v>94</v>
      </c>
    </row>
    <row r="54" ht="16.5" customHeight="1">
      <c r="A54" t="s">
        <v>6</v>
      </c>
      <c r="B54" t="s">
        <v>95</v>
      </c>
      <c r="C54" t="s">
        <v>6</v>
      </c>
      <c r="D54" t="s">
        <v>6</v>
      </c>
      <c r="E54" t="s">
        <v>96</v>
      </c>
    </row>
    <row r="55" ht="16.5" customHeight="1">
      <c r="A55" t="s">
        <v>6</v>
      </c>
      <c r="B55" t="s">
        <v>97</v>
      </c>
      <c r="C55" t="s">
        <v>6</v>
      </c>
      <c r="D55" t="s">
        <v>6</v>
      </c>
      <c r="E55" t="s">
        <v>98</v>
      </c>
    </row>
    <row r="56" ht="16.5" customHeight="1">
      <c r="A56" t="s">
        <v>6</v>
      </c>
      <c r="B56" t="s">
        <v>99</v>
      </c>
      <c r="C56" t="s">
        <v>6</v>
      </c>
      <c r="D56" t="s">
        <v>6</v>
      </c>
      <c r="E56" t="s">
        <v>100</v>
      </c>
    </row>
    <row r="57" ht="16.5" customHeight="1">
      <c r="A57" t="s">
        <v>6</v>
      </c>
      <c r="B57" t="s">
        <v>101</v>
      </c>
      <c r="C57" t="s">
        <v>6</v>
      </c>
      <c r="D57" t="s">
        <v>6</v>
      </c>
      <c r="E57" t="s">
        <v>102</v>
      </c>
    </row>
    <row r="58" ht="16.5" customHeight="1">
      <c r="A58" t="s">
        <v>6</v>
      </c>
      <c r="B58" t="s">
        <v>103</v>
      </c>
      <c r="C58" t="s">
        <v>6</v>
      </c>
      <c r="D58" t="s">
        <v>6</v>
      </c>
      <c r="E58" t="s">
        <v>104</v>
      </c>
    </row>
    <row r="59" ht="16.5" customHeight="1">
      <c r="B59" t="s">
        <v>105</v>
      </c>
      <c r="E59" t="s">
        <v>106</v>
      </c>
    </row>
  </sheetData>
  <printOptions/>
  <pageMargins left="0.7" right="0.7" top="0.75" bottom="0.75" header="0.3" footer="0.3"/>
  <pageSetup paperSize="1" pageOrder="downThenOver" orientation="portrait"/>
  <headerFooter>
    <oddHeader>&amp;L&amp;C&amp;R</oddHeader>
    <oddFooter>&amp;L&amp;C&amp;R</oddFooter>
  </headerFooter>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317CE428-DAFF-22B8-CEC8-F03EF74696C6}" mc:Ignorable="x14ac xr xr2 xr3">
  <dimension ref="A1:CV10000"/>
  <sheetViews>
    <sheetView topLeftCell="A1" workbookViewId="0">
      <selection activeCell="A1" sqref="A1"/>
    </sheetView>
  </sheetViews>
  <sheetFormatPr defaultRowHeight="15" defaultColWidth="9.140625" customHeight="1"/>
  <cols>
    <col min="1" max="1" width="18.00390625" customWidth="1"/>
    <col min="2" max="2" width="44.00390625" customWidth="1"/>
    <col min="3" max="3" width="27.00390625" customWidth="1"/>
  </cols>
  <sheetData>
    <row r="1" ht="15" customHeight="1" s="1" customFormat="1">
      <c r="A1" s="1" t="s">
        <v>9</v>
      </c>
      <c r="B1" s="1" t="s">
        <v>4</v>
      </c>
      <c r="C1" s="1" t="s">
        <v>107</v>
      </c>
    </row>
    <row r="2" ht="15" customHeight="1">
      <c r="A2" t="s">
        <v>108</v>
      </c>
      <c r="B2" t="s">
        <v>109</v>
      </c>
      <c r="C2" t="s">
        <v>110</v>
      </c>
    </row>
    <row r="3" ht="15" customHeight="1">
      <c r="A3" t="s">
        <v>111</v>
      </c>
      <c r="B3" t="s">
        <v>112</v>
      </c>
      <c r="C3" t="s">
        <v>113</v>
      </c>
    </row>
    <row r="4" ht="15" customHeight="1">
      <c r="A4" t="s">
        <v>114</v>
      </c>
      <c r="B4" t="s">
        <v>115</v>
      </c>
      <c r="C4" t="s">
        <v>116</v>
      </c>
    </row>
    <row r="5" ht="15" customHeight="1">
      <c r="A5" t="s">
        <v>117</v>
      </c>
      <c r="B5" t="s">
        <v>118</v>
      </c>
      <c r="C5" t="s">
        <v>119</v>
      </c>
    </row>
    <row r="6" ht="15" customHeight="1">
      <c r="A6" t="s">
        <v>120</v>
      </c>
      <c r="B6" t="s">
        <v>121</v>
      </c>
      <c r="C6" t="s">
        <v>119</v>
      </c>
    </row>
  </sheetData>
  <printOptions/>
  <pageMargins left="0.7" right="0.7" top="0.75" bottom="0.75" header="0.3" footer="0.3"/>
  <pageSetup paperSize="1" pageOrder="downThenOver" orientation="portrait"/>
  <headerFooter>
    <oddHeader>&amp;L&amp;C&amp;R</oddHeader>
    <oddFooter>&amp;L&amp;C&amp;R</oddFooter>
  </headerFooter>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07364AB8-5828-9F08-B798-399B0CC14DFB}" mc:Ignorable="x14ac xr xr2 xr3">
  <dimension ref="A1:CV10000"/>
  <sheetViews>
    <sheetView topLeftCell="A1" workbookViewId="0">
      <selection activeCell="A1" sqref="A1"/>
    </sheetView>
  </sheetViews>
  <sheetFormatPr defaultRowHeight="15" defaultColWidth="9.140625" customHeight="1"/>
  <cols>
    <col min="1" max="1" width="17.00390625" customWidth="1"/>
    <col min="2" max="2" width="18.00390625" customWidth="1"/>
    <col min="3" max="3" width="48.00390625" customWidth="1"/>
  </cols>
  <sheetData>
    <row r="1" ht="15.75" customHeight="1" s="1" customFormat="1">
      <c r="A1" s="1" t="s">
        <v>17</v>
      </c>
      <c r="B1" s="1" t="s">
        <v>9</v>
      </c>
      <c r="C1" s="1" t="s">
        <v>122</v>
      </c>
      <c r="D1" s="1" t="s">
        <v>123</v>
      </c>
    </row>
    <row r="2" ht="15.75" customHeight="1">
      <c r="A2" t="s">
        <v>124</v>
      </c>
      <c r="B2" t="s">
        <v>108</v>
      </c>
      <c r="C2" t="s">
        <v>125</v>
      </c>
      <c r="D2" t="str">
        <f>IF(B2="","",IF(COUNTIF(Teams!A$2:A$6,B2)&gt;0,"✓","✗ Not Found"))</f>
        <v>✓</v>
      </c>
    </row>
    <row r="3" ht="15.75" customHeight="1">
      <c r="A3" t="s">
        <v>127</v>
      </c>
      <c r="B3" t="s">
        <v>111</v>
      </c>
      <c r="C3" t="s">
        <v>128</v>
      </c>
      <c r="D3" s="2" t="str">
        <f>IF(B3="","",IF(COUNTIF(Teams!A$2:A$6,B3)&gt;0,"✓","✗ Not Found"))</f>
        <v>✓</v>
      </c>
    </row>
    <row r="4" ht="15.75" customHeight="1">
      <c r="A4" t="s">
        <v>129</v>
      </c>
      <c r="B4" t="s">
        <v>117</v>
      </c>
      <c r="C4" t="s">
        <v>130</v>
      </c>
      <c r="D4" s="2" t="str">
        <f>IF(B4="","",IF(COUNTIF(Teams!A$2:A$6,B4)&gt;0,"✓","✗ Not Found"))</f>
        <v>✓</v>
      </c>
    </row>
    <row r="5" ht="15.75" customHeight="1">
      <c r="A5" t="s">
        <v>131</v>
      </c>
      <c r="B5" t="s">
        <v>120</v>
      </c>
      <c r="C5" t="s">
        <v>132</v>
      </c>
      <c r="D5" s="2" t="str">
        <f>IF(B5="","",IF(COUNTIF(Teams!A$2:A$6,B5)&gt;0,"✓","✗ Not Found"))</f>
        <v>✓</v>
      </c>
    </row>
    <row r="6" ht="15.75" customHeight="1">
      <c r="A6" t="s">
        <v>133</v>
      </c>
      <c r="B6" t="s">
        <v>108</v>
      </c>
      <c r="C6" t="s">
        <v>134</v>
      </c>
      <c r="D6" s="2" t="str">
        <f>IF(B6="","",IF(COUNTIF(Teams!A$2:A$6,B6)&gt;0,"✓","✗ Not Found"))</f>
        <v>✓</v>
      </c>
    </row>
    <row r="7" ht="15.75" customHeight="1">
      <c r="A7" t="s">
        <v>135</v>
      </c>
      <c r="B7" t="s">
        <v>108</v>
      </c>
      <c r="C7" t="s">
        <v>136</v>
      </c>
      <c r="D7" s="2" t="str">
        <f>IF(B7="","",IF(COUNTIF(Teams!A$2:A$6,B7)&gt;0,"✓","✗ Not Found"))</f>
        <v>✓</v>
      </c>
    </row>
    <row r="8" ht="15.75" customHeight="1">
      <c r="A8" t="s">
        <v>137</v>
      </c>
      <c r="B8" t="s">
        <v>108</v>
      </c>
      <c r="C8" t="s">
        <v>138</v>
      </c>
      <c r="D8" s="2" t="str">
        <f>IF(B8="","",IF(COUNTIF(Teams!A$2:A$6,B8)&gt;0,"✓","✗ Not Found"))</f>
        <v>✓</v>
      </c>
    </row>
    <row r="9" ht="15.75" customHeight="1">
      <c r="A9" t="s">
        <v>139</v>
      </c>
      <c r="B9" t="s">
        <v>108</v>
      </c>
      <c r="C9" t="s">
        <v>140</v>
      </c>
      <c r="D9" t="str">
        <f>IF(B9="","",IF(COUNTIF(Teams!A$2:A$6,B9)&gt;0,"✓","✗ Not Found"))</f>
        <v>✓</v>
      </c>
    </row>
    <row r="10" ht="15.75" customHeight="1">
      <c r="A10" t="s">
        <v>141</v>
      </c>
      <c r="B10" t="s">
        <v>108</v>
      </c>
      <c r="C10" t="s">
        <v>142</v>
      </c>
      <c r="D10" t="str">
        <f>IF(B10="","",IF(COUNTIF(Teams!A$2:A$6,B10)&gt;0,"✓","✗ Not Found"))</f>
        <v>✓</v>
      </c>
    </row>
  </sheetData>
  <dataValidations count="1">
    <dataValidation allowBlank="1" error="Must match a Team Name from Teams sheet" errorTitle="Invalid Value" showErrorMessage="1" sqref="B2:B100" type="list">
      <formula1>"Day Shift Team,Night Shift Team,Swing Shift Team,Welding Team,Quality Team"</formula1>
    </dataValidation>
  </dataValidations>
  <printOptions/>
  <pageMargins left="0.7" right="0.7" top="0.75" bottom="0.75" header="0.3" footer="0.3"/>
  <pageSetup paperSize="1" pageOrder="downThenOver" orientation="portrait"/>
  <headerFooter>
    <oddHeader>&amp;L&amp;C&amp;R</oddHeader>
    <oddFooter>&amp;L&amp;C&amp;R</oddFooter>
  </headerFooter>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E3AFAAF2-E7F8-5828-5933-AE8BD08B7618}" mc:Ignorable="x14ac xr xr2 xr3">
  <dimension ref="A1:CV10000"/>
  <sheetViews>
    <sheetView topLeftCell="A1" workbookViewId="0">
      <selection activeCell="A8" sqref="A8:G11"/>
    </sheetView>
  </sheetViews>
  <sheetFormatPr defaultRowHeight="15" defaultColWidth="9.140625" customHeight="1"/>
  <cols>
    <col min="1" max="1" width="12.00390625" customWidth="1"/>
    <col min="2" max="2" width="20.00390625" customWidth="1"/>
    <col min="3" max="3" width="14.00390625" customWidth="1"/>
    <col min="4" max="4" width="21.00390625" customWidth="1"/>
    <col min="5" max="5" width="22.00390625" customWidth="1"/>
    <col min="6" max="6" width="23.00390625" customWidth="1"/>
    <col min="7" max="7" width="17.00390625" customWidth="1"/>
  </cols>
  <sheetData>
    <row r="1" ht="15.75" customHeight="1" s="1" customFormat="1">
      <c r="A1" s="1" t="s">
        <v>22</v>
      </c>
      <c r="B1" s="1" t="s">
        <v>24</v>
      </c>
      <c r="C1" s="1" t="s">
        <v>26</v>
      </c>
      <c r="D1" s="1" t="s">
        <v>28</v>
      </c>
      <c r="E1" s="1" t="s">
        <v>143</v>
      </c>
      <c r="F1" s="1" t="s">
        <v>144</v>
      </c>
      <c r="G1" s="1" t="s">
        <v>145</v>
      </c>
      <c r="H1" s="1" t="s">
        <v>123</v>
      </c>
    </row>
    <row r="2" ht="15.75" customHeight="1">
      <c r="A2" t="s">
        <v>146</v>
      </c>
      <c r="B2" t="s">
        <v>147</v>
      </c>
      <c r="C2" t="s">
        <v>148</v>
      </c>
      <c r="D2" t="s">
        <v>149</v>
      </c>
      <c r="E2" t="s">
        <v>108</v>
      </c>
      <c r="F2" t="s">
        <v>124</v>
      </c>
      <c r="G2" t="s">
        <v>150</v>
      </c>
      <c r="H2" t="str">
        <f>IF(E2="","",IF(COUNTIF(Teams!A$2:A$6,E2)&gt;0,"✓","✗ Not Found"))</f>
        <v>✓</v>
      </c>
    </row>
    <row r="3" ht="15.75" customHeight="1">
      <c r="A3" t="s">
        <v>151</v>
      </c>
      <c r="B3" t="s">
        <v>152</v>
      </c>
      <c r="C3" t="s">
        <v>148</v>
      </c>
      <c r="D3" t="s">
        <v>149</v>
      </c>
      <c r="E3" t="s">
        <v>108</v>
      </c>
      <c r="F3" t="s">
        <v>124</v>
      </c>
      <c r="G3" t="s">
        <v>150</v>
      </c>
      <c r="H3" s="2" t="str">
        <f>IF(E3="","",IF(COUNTIF(Teams!A$2:A$6,E3)&gt;0,"✓","✗ Not Found"))</f>
        <v>✓</v>
      </c>
    </row>
    <row r="4" ht="15.75" customHeight="1">
      <c r="A4" t="s">
        <v>153</v>
      </c>
      <c r="B4" t="s">
        <v>154</v>
      </c>
      <c r="C4" t="s">
        <v>155</v>
      </c>
      <c r="D4" t="s">
        <v>156</v>
      </c>
      <c r="E4" t="s">
        <v>111</v>
      </c>
      <c r="F4" t="s">
        <v>124</v>
      </c>
      <c r="G4" t="s">
        <v>150</v>
      </c>
      <c r="H4" s="2" t="str">
        <f>IF(E4="","",IF(COUNTIF(Teams!A$2:A$6,E4)&gt;0,"✓","✗ Not Found"))</f>
        <v>✓</v>
      </c>
    </row>
    <row r="5" ht="15.75" customHeight="1">
      <c r="A5" t="s">
        <v>157</v>
      </c>
      <c r="B5" t="s">
        <v>158</v>
      </c>
      <c r="C5" t="s">
        <v>159</v>
      </c>
      <c r="D5" t="s">
        <v>160</v>
      </c>
      <c r="E5" t="s">
        <v>6</v>
      </c>
      <c r="F5" t="s">
        <v>137</v>
      </c>
      <c r="G5" t="s">
        <v>150</v>
      </c>
      <c r="H5" s="2" t="str">
        <f>IF(E5="","",IF(COUNTIF(Teams!A$2:A$6,E5)&gt;0,"✓","✗ Not Found"))</f>
        <v/>
      </c>
    </row>
    <row r="6" ht="15.75" customHeight="1">
      <c r="A6" t="s">
        <v>161</v>
      </c>
      <c r="B6" t="s">
        <v>162</v>
      </c>
      <c r="C6" t="s">
        <v>163</v>
      </c>
      <c r="D6" t="s">
        <v>164</v>
      </c>
      <c r="E6" t="s">
        <v>117</v>
      </c>
      <c r="F6" t="s">
        <v>129</v>
      </c>
      <c r="G6" t="s">
        <v>150</v>
      </c>
      <c r="H6" s="2" t="str">
        <f>IF(E6="","",IF(COUNTIF(Teams!A$2:A$6,E6)&gt;0,"✓","✗ Not Found"))</f>
        <v>✓</v>
      </c>
    </row>
    <row r="7" ht="15.75" customHeight="1">
      <c r="A7" t="s">
        <v>165</v>
      </c>
      <c r="B7" t="s">
        <v>166</v>
      </c>
      <c r="C7" t="s">
        <v>167</v>
      </c>
      <c r="D7" t="s">
        <v>168</v>
      </c>
      <c r="E7" t="s">
        <v>6</v>
      </c>
      <c r="F7" t="s">
        <v>131</v>
      </c>
      <c r="G7" t="s">
        <v>150</v>
      </c>
      <c r="H7" s="2" t="str">
        <f>IF(E7="","",IF(COUNTIF(Teams!A$2:A$6,E7)&gt;0,"✓","✗ Not Found"))</f>
        <v/>
      </c>
    </row>
    <row r="8" ht="15.75" customHeight="1">
      <c r="A8" t="s">
        <v>169</v>
      </c>
      <c r="B8" t="s">
        <v>170</v>
      </c>
      <c r="C8" t="s">
        <v>159</v>
      </c>
      <c r="D8" t="s">
        <v>171</v>
      </c>
      <c r="F8" t="s">
        <v>137</v>
      </c>
      <c r="G8" t="s">
        <v>150</v>
      </c>
      <c r="H8" s="2" t="str">
        <f>IF(E8="","",IF(COUNTIF(Teams!A$2:A$6,E8)&gt;0,"✓","✗ Not Found"))</f>
        <v/>
      </c>
    </row>
    <row r="9" ht="15.75" customHeight="1">
      <c r="A9" t="s">
        <v>172</v>
      </c>
      <c r="B9" t="s">
        <v>173</v>
      </c>
      <c r="C9" t="s">
        <v>174</v>
      </c>
      <c r="D9" t="s">
        <v>175</v>
      </c>
      <c r="G9" t="s">
        <v>150</v>
      </c>
      <c r="H9" s="2" t="str">
        <f>IF(E9="","",IF(COUNTIF(Teams!A$2:A$6,E9)&gt;0,"✓","✗ Not Found"))</f>
        <v/>
      </c>
    </row>
    <row r="10" ht="15.75" customHeight="1">
      <c r="A10" t="s">
        <v>176</v>
      </c>
      <c r="B10" t="s">
        <v>177</v>
      </c>
      <c r="C10" t="s">
        <v>178</v>
      </c>
      <c r="D10" t="s">
        <v>133</v>
      </c>
      <c r="F10" t="s">
        <v>133</v>
      </c>
      <c r="G10" t="s">
        <v>150</v>
      </c>
      <c r="H10" s="2" t="str">
        <f>IF(E10="","",IF(COUNTIF(Teams!A$2:A$6,E10)&gt;0,"✓","✗ Not Found"))</f>
        <v/>
      </c>
    </row>
    <row r="11" ht="15.75" customHeight="1">
      <c r="A11" t="s">
        <v>179</v>
      </c>
      <c r="B11" t="s">
        <v>180</v>
      </c>
      <c r="C11" t="s">
        <v>167</v>
      </c>
      <c r="D11" t="s">
        <v>181</v>
      </c>
      <c r="F11" t="s">
        <v>131</v>
      </c>
      <c r="G11" t="s">
        <v>150</v>
      </c>
      <c r="H11" s="2" t="str">
        <f>IF(E11="","",IF(COUNTIF(Teams!A$2:A$6,E11)&gt;0,"✓","✗ Not Found"))</f>
        <v/>
      </c>
    </row>
    <row r="12" ht="15.75" customHeight="1">
      <c r="A12" t="s">
        <v>182</v>
      </c>
      <c r="B12" t="s">
        <v>183</v>
      </c>
      <c r="C12" t="s">
        <v>184</v>
      </c>
      <c r="D12" t="s">
        <v>185</v>
      </c>
      <c r="E12" t="s">
        <v>108</v>
      </c>
      <c r="F12" t="s">
        <v>141</v>
      </c>
      <c r="G12" t="s">
        <v>150</v>
      </c>
      <c r="H12" s="2" t="str">
        <f>IF(E12="","",IF(COUNTIF(Teams!A$2:A$6,E12)&gt;0,"✓","✗ Not Found"))</f>
        <v>✓</v>
      </c>
    </row>
    <row r="13" ht="15.75" customHeight="1">
      <c r="A13" t="s">
        <v>186</v>
      </c>
      <c r="B13" t="s">
        <v>187</v>
      </c>
      <c r="C13" t="s">
        <v>188</v>
      </c>
      <c r="D13" t="s">
        <v>189</v>
      </c>
      <c r="E13" t="s">
        <v>108</v>
      </c>
      <c r="F13" t="s">
        <v>139</v>
      </c>
      <c r="G13" t="s">
        <v>150</v>
      </c>
      <c r="H13" s="2" t="str">
        <f>IF(E13="","",IF(COUNTIF(Teams!A$2:A$6,E13)&gt;0,"✓","✗ Not Found"))</f>
        <v>✓</v>
      </c>
    </row>
    <row r="14" ht="15.75" customHeight="1">
      <c r="A14" t="s">
        <v>190</v>
      </c>
      <c r="B14" t="s">
        <v>191</v>
      </c>
      <c r="C14" t="s">
        <v>188</v>
      </c>
      <c r="D14" t="s">
        <v>192</v>
      </c>
      <c r="E14" t="s">
        <v>108</v>
      </c>
      <c r="F14" t="s">
        <v>139</v>
      </c>
      <c r="G14" t="s">
        <v>150</v>
      </c>
      <c r="H14" s="2" t="str">
        <f>IF(E14="","",IF(COUNTIF(Teams!A$2:A$6,E14)&gt;0,"✓","✗ Not Found"))</f>
        <v>✓</v>
      </c>
    </row>
    <row r="15" ht="15.75" customHeight="1">
      <c r="A15" t="s">
        <v>193</v>
      </c>
      <c r="B15" t="s">
        <v>194</v>
      </c>
      <c r="C15" t="s">
        <v>184</v>
      </c>
      <c r="D15" t="s">
        <v>195</v>
      </c>
      <c r="E15" t="s">
        <v>108</v>
      </c>
      <c r="F15" t="s">
        <v>141</v>
      </c>
      <c r="G15" t="s">
        <v>150</v>
      </c>
      <c r="H15" s="2" t="str">
        <f>IF(E15="","",IF(COUNTIF(Teams!A$2:A$6,E15)&gt;0,"✓","✗ Not Found"))</f>
        <v>✓</v>
      </c>
    </row>
    <row r="16" ht="15.75" customHeight="1">
      <c r="A16" t="s">
        <v>196</v>
      </c>
      <c r="B16" t="s">
        <v>197</v>
      </c>
      <c r="C16" t="s">
        <v>198</v>
      </c>
      <c r="D16" t="s">
        <v>199</v>
      </c>
      <c r="E16" t="s">
        <v>108</v>
      </c>
      <c r="F16" t="s">
        <v>141</v>
      </c>
      <c r="G16" t="s">
        <v>150</v>
      </c>
      <c r="H16" s="2" t="str">
        <f>IF(E16="","",IF(COUNTIF(Teams!A$2:A$6,E16)&gt;0,"✓","✗ Not Found"))</f>
        <v>✓</v>
      </c>
    </row>
    <row r="17" ht="15.75" customHeight="1">
      <c r="A17" t="s">
        <v>200</v>
      </c>
      <c r="B17" t="s">
        <v>201</v>
      </c>
      <c r="C17" t="s">
        <v>202</v>
      </c>
      <c r="D17" t="s">
        <v>203</v>
      </c>
      <c r="E17" t="s">
        <v>108</v>
      </c>
      <c r="F17" t="s">
        <v>124</v>
      </c>
      <c r="G17" t="s">
        <v>150</v>
      </c>
      <c r="H17" s="2" t="str">
        <f>IF(E17="","",IF(COUNTIF(Teams!A$2:A$6,E17)&gt;0,"✓","✗ Not Found"))</f>
        <v>✓</v>
      </c>
    </row>
    <row r="18" ht="15.75" customHeight="1">
      <c r="A18" t="s">
        <v>204</v>
      </c>
      <c r="B18" t="s">
        <v>205</v>
      </c>
      <c r="C18" t="s">
        <v>167</v>
      </c>
      <c r="D18" t="s">
        <v>206</v>
      </c>
      <c r="E18" t="s">
        <v>120</v>
      </c>
      <c r="F18" t="s">
        <v>131</v>
      </c>
      <c r="G18" t="s">
        <v>150</v>
      </c>
      <c r="H18" s="2" t="str">
        <f>IF(E18="","",IF(COUNTIF(Teams!A$2:A$6,E18)&gt;0,"✓","✗ Not Found"))</f>
        <v>✓</v>
      </c>
    </row>
    <row r="19" ht="15.75" customHeight="1">
      <c r="A19" t="s">
        <v>207</v>
      </c>
      <c r="B19" t="s">
        <v>208</v>
      </c>
      <c r="C19" t="s">
        <v>155</v>
      </c>
      <c r="D19" t="s">
        <v>209</v>
      </c>
      <c r="E19" t="s">
        <v>108</v>
      </c>
      <c r="F19" t="s">
        <v>124</v>
      </c>
      <c r="G19" t="s">
        <v>150</v>
      </c>
      <c r="H19" s="2" t="str">
        <f>IF(E19="","",IF(COUNTIF(Teams!A$2:A$6,E19)&gt;0,"✓","✗ Not Found"))</f>
        <v>✓</v>
      </c>
    </row>
    <row r="20" ht="15.75" customHeight="1">
      <c r="A20" t="s">
        <v>210</v>
      </c>
      <c r="B20" t="s">
        <v>211</v>
      </c>
      <c r="C20" t="s">
        <v>212</v>
      </c>
      <c r="D20" t="s">
        <v>213</v>
      </c>
      <c r="E20" t="s">
        <v>108</v>
      </c>
      <c r="F20" t="s">
        <v>135</v>
      </c>
      <c r="G20" t="s">
        <v>150</v>
      </c>
      <c r="H20" t="str">
        <f>IF(E20="","",IF(COUNTIF(Teams!A$2:A$6,E20)&gt;0,"✓","✗ Not Found"))</f>
        <v>✓</v>
      </c>
    </row>
  </sheetData>
  <dataValidations count="4">
    <dataValidation allowBlank="1" error="Must be a valid Work Center Type" errorTitle="Invalid Value" showErrorMessage="1" sqref="D2:D100" type="list">
      <formula1>"CNC Mill,CNC Lathe,Water Jet,Band Saw,Press Brake,TIG Welding,MIG Welding,Electron Beam Welding,Punch Press,Hardware Installation,Deburr Station,Shipping,Incoming Inspection,Outgoing Inspection,Tool Crib,Quoting,Engineering Review,CAM Programming,Purchasing,Receiving,Final Inspection,Grinding"</formula1>
    </dataValidation>
    <dataValidation allowBlank="1" error="Must match a Team Name from Teams sheet" errorTitle="Invalid Value" showErrorMessage="1" sqref="E2:E100" type="list">
      <formula1>"Day Shift Team,Night Shift Team,Swing Shift Team,Welding Team,Quality Team"</formula1>
    </dataValidation>
    <dataValidation allowBlank="1" error="Must be yes or no" errorTitle="Invalid Value" showErrorMessage="1" sqref="G2:G100" type="list">
      <formula1>"yes,no"</formula1>
    </dataValidation>
    <dataValidation allowBlank="1" error="Must match a Department Name" errorTitle="Invalid Value" showErrorMessage="1" sqref="F2:F100" type="list">
      <formula1>"Machining,Machining - Night,Fabrication,Quality,Shipping,Assembly,Cutting,Engineering,Admin"</formula1>
    </dataValidation>
  </dataValidations>
  <printOptions/>
  <pageMargins left="0.7" right="0.7" top="0.75" bottom="0.75" header="0.3" footer="0.3"/>
  <pageSetup paperSize="1" pageOrder="downThenOver" orientation="portrait"/>
  <headerFooter>
    <oddHeader>&amp;L&amp;C&amp;R</oddHeader>
    <oddFooter>&amp;L&amp;C&amp;R</oddFooter>
  </headerFooter>
  <legacyDrawing r:id="rId2"/>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8FB8BD8-F39A-D2C9-B579-2E1D229090FF}" mc:Ignorable="x14ac xr xr2 xr3">
  <dimension ref="A1:CV10000"/>
  <sheetViews>
    <sheetView topLeftCell="A1" workbookViewId="0">
      <selection activeCell="A1" sqref="A1"/>
    </sheetView>
  </sheetViews>
  <sheetFormatPr defaultRowHeight="15" defaultColWidth="9.140625" customHeight="1"/>
  <cols>
    <col min="1" max="1" width="30.00390625" customWidth="1"/>
    <col min="2" max="2" width="80.00390625" customWidth="1"/>
  </cols>
  <sheetData>
    <row r="1" ht="15.75" customHeight="1" s="3" customFormat="1">
      <c r="A1" s="4" t="s">
        <v>1</v>
      </c>
      <c r="B1" s="4" t="s">
        <v>3</v>
      </c>
    </row>
    <row r="2" ht="15.75" customHeight="1">
      <c r="A2" t="s">
        <v>28</v>
      </c>
      <c r="B2" t="s">
        <v>214</v>
      </c>
    </row>
    <row r="3" ht="15.75" customHeight="1">
      <c r="A3" t="s">
        <v>145</v>
      </c>
      <c r="B3" t="s">
        <v>35</v>
      </c>
    </row>
  </sheetData>
  <printOptions/>
  <pageMargins left="0.7" right="0.7" top="0.75" bottom="0.75" header="0.3" footer="0.3"/>
  <pageSetup paperSize="1" pageOrder="downThenOver" orientation="portrait"/>
  <headerFooter>
    <oddHeader>&amp;L&amp;C&amp;R</oddHeader>
    <oddFooter>&amp;L&amp;C&amp;R</oddFooter>
  </headerFooter>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CC751F68-2B98-1E88-D868-6384B0773578}" mc:Ignorable="x14ac xr xr2 xr3">
  <dimension ref="A1:CV10000"/>
  <sheetViews>
    <sheetView topLeftCell="A1" workbookViewId="0">
      <selection activeCell="A1" sqref="A1"/>
    </sheetView>
  </sheetViews>
  <sheetFormatPr defaultRowHeight="15" defaultColWidth="9.140625" customHeight="1"/>
  <cols>
    <col min="1" max="1" width="27.00390625" customWidth="1"/>
    <col min="2" max="2" width="15.00390625" customWidth="1"/>
    <col min="3" max="3" width="12.00390625" customWidth="1"/>
    <col min="4" max="4" width="21.00390625" customWidth="1"/>
    <col min="5" max="6" width="22.00390625" customWidth="1"/>
    <col min="7" max="7" width="23.00390625" customWidth="1"/>
  </cols>
  <sheetData>
    <row r="1" ht="15.75" customHeight="1" s="1" customFormat="1">
      <c r="A1" s="1" t="s">
        <v>38</v>
      </c>
      <c r="B1" s="1" t="s">
        <v>40</v>
      </c>
      <c r="C1" s="1" t="s">
        <v>42</v>
      </c>
      <c r="D1" s="1" t="s">
        <v>215</v>
      </c>
      <c r="E1" s="1" t="s">
        <v>216</v>
      </c>
      <c r="F1" s="1" t="s">
        <v>143</v>
      </c>
      <c r="G1" s="1" t="s">
        <v>144</v>
      </c>
      <c r="H1" s="1" t="s">
        <v>123</v>
      </c>
    </row>
    <row r="2" ht="15.75" customHeight="1">
      <c r="A2" t="s">
        <v>217</v>
      </c>
      <c r="B2" t="s">
        <v>218</v>
      </c>
      <c r="C2" t="s">
        <v>219</v>
      </c>
      <c r="D2" t="s">
        <v>220</v>
      </c>
      <c r="E2" t="s">
        <v>220</v>
      </c>
      <c r="F2" t="s">
        <v>108</v>
      </c>
      <c r="G2" t="s">
        <v>124</v>
      </c>
      <c r="H2" t="str">
        <f>IF(F2="","",IF(COUNTIF(Teams!A$2:A$6,F2)&gt;0,"✓","✗ Not Found"))</f>
        <v>✓</v>
      </c>
    </row>
    <row r="3" ht="15.75" customHeight="1">
      <c r="A3" t="s">
        <v>221</v>
      </c>
      <c r="B3" t="s">
        <v>222</v>
      </c>
      <c r="C3" t="s">
        <v>223</v>
      </c>
      <c r="D3" t="s">
        <v>224</v>
      </c>
      <c r="E3" t="s">
        <v>224</v>
      </c>
      <c r="F3" t="s">
        <v>108</v>
      </c>
      <c r="G3" t="s">
        <v>124</v>
      </c>
      <c r="H3" s="2" t="str">
        <f>IF(F3="","",IF(COUNTIF(Teams!A$2:A$6,F3)&gt;0,"✓","✗ Not Found"))</f>
        <v>✓</v>
      </c>
    </row>
    <row r="4" ht="15.75" customHeight="1">
      <c r="A4" t="s">
        <v>225</v>
      </c>
      <c r="B4" t="s">
        <v>226</v>
      </c>
      <c r="C4" t="s">
        <v>219</v>
      </c>
      <c r="D4" t="s">
        <v>220</v>
      </c>
      <c r="E4" t="s">
        <v>220</v>
      </c>
      <c r="F4" t="s">
        <v>117</v>
      </c>
      <c r="G4" t="s">
        <v>129</v>
      </c>
      <c r="H4" s="2" t="str">
        <f>IF(F4="","",IF(COUNTIF(Teams!A$2:A$6,F4)&gt;0,"✓","✗ Not Found"))</f>
        <v>✓</v>
      </c>
    </row>
    <row r="5" ht="15.75" customHeight="1">
      <c r="A5" t="s">
        <v>227</v>
      </c>
      <c r="B5" t="s">
        <v>228</v>
      </c>
      <c r="C5" t="s">
        <v>224</v>
      </c>
      <c r="D5" t="s">
        <v>229</v>
      </c>
      <c r="E5" t="s">
        <v>6</v>
      </c>
      <c r="F5" t="s">
        <v>6</v>
      </c>
      <c r="G5" t="s">
        <v>6</v>
      </c>
      <c r="H5" s="2" t="str">
        <f>IF(F5="","",IF(COUNTIF(Teams!A$2:A$6,F5)&gt;0,"✓","✗ Not Found"))</f>
        <v/>
      </c>
    </row>
    <row r="6" ht="15.75" customHeight="1">
      <c r="A6" t="s">
        <v>230</v>
      </c>
      <c r="B6" t="s">
        <v>231</v>
      </c>
      <c r="C6" t="s">
        <v>232</v>
      </c>
      <c r="D6" t="s">
        <v>220</v>
      </c>
      <c r="E6" t="s">
        <v>6</v>
      </c>
      <c r="F6" t="s">
        <v>120</v>
      </c>
      <c r="G6" t="s">
        <v>131</v>
      </c>
      <c r="H6" s="2" t="str">
        <f>IF(F6="","",IF(COUNTIF(Teams!A$2:A$6,F6)&gt;0,"✓","✗ Not Found"))</f>
        <v>✓</v>
      </c>
    </row>
  </sheetData>
  <dataValidations count="5">
    <dataValidation allowBlank="1" error="Must be a valid App Role" errorTitle="Invalid Value" showErrorMessage="1" sqref="C2:C100" type="list">
      <formula1>"admin,supervisor,operator,viewer"</formula1>
    </dataValidation>
    <dataValidation allowBlank="1" error="Must be a valid Org Role" errorTitle="Invalid Value" showErrorMessage="1" sqref="D2:D100" type="list">
      <formula1>"owner,admin,member"</formula1>
    </dataValidation>
    <dataValidation allowBlank="1" error="Must be a valid Team Role" errorTitle="Invalid Value" showErrorMessage="1" sqref="E2:E100" type="list">
      <formula1>"owner,admin,member"</formula1>
    </dataValidation>
    <dataValidation allowBlank="1" error="Must match a Team Name from Teams sheet" errorTitle="Invalid Value" showErrorMessage="1" sqref="F2:F100" type="list">
      <formula1>"Day Shift Team,Night Shift Team,Swing Shift Team,Welding Team,Quality Team"</formula1>
    </dataValidation>
    <dataValidation allowBlank="1" error="Must match a Department Name" errorTitle="Invalid Value" showErrorMessage="1" sqref="G2:G100" type="list">
      <formula1>"Machining,Machining - Night,Fabrication,Quality,Shipping,Assembly,Cutting,Engineering,Admin"</formula1>
    </dataValidation>
  </dataValidations>
  <printOptions/>
  <pageMargins left="0.7" right="0.7" top="0.75" bottom="0.75" header="0.3" footer="0.3"/>
  <pageSetup paperSize="1" pageOrder="downThenOver" orientation="portrait"/>
  <headerFooter>
    <oddHeader>&amp;L&amp;C&amp;R</oddHeader>
    <oddFooter>&amp;L&amp;C&amp;R</oddFooter>
  </headerFooter>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3DC7798-42D8-8793-23F8-B9544E3ECB68}" mc:Ignorable="x14ac xr xr2 xr3">
  <dimension ref="A1:CV10000"/>
  <sheetViews>
    <sheetView topLeftCell="A1" workbookViewId="0">
      <selection activeCell="A1" sqref="A1"/>
    </sheetView>
  </sheetViews>
  <sheetFormatPr defaultRowHeight="15" defaultColWidth="9.140625" customHeight="1"/>
  <cols>
    <col min="1" max="1" width="30.00390625" customWidth="1"/>
    <col min="2" max="2" width="80.00390625" customWidth="1"/>
  </cols>
  <sheetData>
    <row r="1" ht="15" customHeight="1" s="3" customFormat="1">
      <c r="A1" s="4" t="s">
        <v>1</v>
      </c>
      <c r="B1" s="4" t="s">
        <v>3</v>
      </c>
    </row>
    <row r="2" ht="15" customHeight="1">
      <c r="A2" t="s">
        <v>42</v>
      </c>
      <c r="B2" t="s">
        <v>43</v>
      </c>
    </row>
    <row r="3" ht="15" customHeight="1">
      <c r="A3" t="s">
        <v>215</v>
      </c>
      <c r="B3" t="s">
        <v>46</v>
      </c>
    </row>
    <row r="4" ht="15" customHeight="1">
      <c r="A4" t="s">
        <v>216</v>
      </c>
      <c r="B4" t="s">
        <v>46</v>
      </c>
    </row>
  </sheetData>
  <printOptions/>
  <pageMargins left="0.7" right="0.7" top="0.75" bottom="0.75" header="0.3" footer="0.3"/>
  <pageSetup paperSize="1" pageOrder="downThenOver" orientation="portrait"/>
  <headerFooter>
    <oddHeader>&amp;L&amp;C&amp;R</oddHeader>
    <oddFooter>&amp;L&amp;C&amp;R</oddFooter>
  </headerFooter>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242AA028-4C59-9B83-8ED8-F8FC1C254548}" mc:Ignorable="x14ac xr xr2 xr3">
  <dimension ref="A1:CV10000"/>
  <sheetViews>
    <sheetView topLeftCell="A31" workbookViewId="0" tabSelected="1">
      <selection activeCell="A1" sqref="A1"/>
    </sheetView>
  </sheetViews>
  <sheetFormatPr defaultRowHeight="15" defaultColWidth="9.140625" customHeight="1"/>
  <cols>
    <col min="1" max="1" width="14.00390625" customWidth="1"/>
    <col min="2" max="4" width="24.00390625" customWidth="1"/>
    <col min="5" max="5" width="21.00390625" customWidth="1"/>
    <col min="6" max="6" width="10.00390625" customWidth="1"/>
    <col min="7" max="7" width="13.00390625" customWidth="1"/>
    <col min="8" max="8" width="23.00390625" customWidth="1"/>
    <col min="9" max="9" width="22.00390625" customWidth="1"/>
    <col min="10" max="10" width="23.00390625" customWidth="1"/>
    <col min="11" max="11" width="21.00390625" customWidth="1"/>
    <col min="12" max="12" width="25.00390625" customWidth="1"/>
    <col min="13" max="13" width="36.00390625" customWidth="1"/>
  </cols>
  <sheetData>
    <row r="1" ht="15.75" customHeight="1" s="1" customFormat="1">
      <c r="A1" s="1" t="s">
        <v>51</v>
      </c>
      <c r="B1" s="1" t="s">
        <v>53</v>
      </c>
      <c r="C1" s="1" t="s">
        <v>233</v>
      </c>
      <c r="D1" s="1" t="s">
        <v>234</v>
      </c>
      <c r="E1" s="1" t="s">
        <v>235</v>
      </c>
      <c r="F1" s="1" t="s">
        <v>61</v>
      </c>
      <c r="G1" s="1" t="s">
        <v>64</v>
      </c>
      <c r="H1" s="1" t="s">
        <v>236</v>
      </c>
      <c r="I1" s="1" t="s">
        <v>143</v>
      </c>
      <c r="J1" s="1" t="s">
        <v>237</v>
      </c>
      <c r="K1" s="1" t="s">
        <v>87</v>
      </c>
      <c r="L1" s="1" t="s">
        <v>238</v>
      </c>
      <c r="M1" s="1" t="s">
        <v>122</v>
      </c>
      <c r="N1" s="1" t="s">
        <v>123</v>
      </c>
      <c r="O1" s="1" t="s">
        <v>239</v>
      </c>
    </row>
    <row r="2" ht="15.75" customHeight="1">
      <c r="A2" t="s">
        <v>240</v>
      </c>
      <c r="B2" t="s">
        <v>241</v>
      </c>
      <c r="C2" t="s">
        <v>242</v>
      </c>
      <c r="D2" t="s">
        <v>243</v>
      </c>
      <c r="E2">
        <v>50</v>
      </c>
      <c r="F2" t="s">
        <v>244</v>
      </c>
      <c r="G2" t="s">
        <v>245</v>
      </c>
      <c r="H2" t="s">
        <v>146</v>
      </c>
      <c r="I2" t="s">
        <v>108</v>
      </c>
      <c r="J2" s="5" t="s">
        <v>246</v>
      </c>
      <c r="K2">
        <v>120</v>
      </c>
      <c r="L2" t="s">
        <v>247</v>
      </c>
      <c r="M2" t="s">
        <v>248</v>
      </c>
      <c r="N2" t="str">
        <f>IF(I2="","",IF(COUNTIF(Teams!A$2:A$6,I2)&gt;0,"✓","✗ Not Found"))</f>
        <v>✓</v>
      </c>
      <c r="O2" t="str">
        <f>IF(H2="","",IF(COUNTIF(Stations!A$2:A$19,H2)&gt;0,"✓","✗ Not Found"))</f>
        <v>✓</v>
      </c>
    </row>
    <row r="3" ht="15.75" customHeight="1">
      <c r="A3" t="s">
        <v>249</v>
      </c>
      <c r="B3" t="s">
        <v>250</v>
      </c>
      <c r="C3" t="s">
        <v>251</v>
      </c>
      <c r="D3" t="s">
        <v>252</v>
      </c>
      <c r="E3">
        <v>25</v>
      </c>
      <c r="F3" t="s">
        <v>253</v>
      </c>
      <c r="G3" t="s">
        <v>254</v>
      </c>
      <c r="H3" t="s">
        <v>153</v>
      </c>
      <c r="I3" t="s">
        <v>111</v>
      </c>
      <c r="J3" s="5" t="s">
        <v>255</v>
      </c>
      <c r="K3">
        <v>240</v>
      </c>
      <c r="L3" t="s">
        <v>256</v>
      </c>
      <c r="M3" t="s">
        <v>257</v>
      </c>
      <c r="N3" s="2" t="str">
        <f>IF(I3="","",IF(COUNTIF(Teams!A$2:A$6,I3)&gt;0,"✓","✗ Not Found"))</f>
        <v>✓</v>
      </c>
      <c r="O3" s="2" t="str">
        <f>IF(H3="","",IF(COUNTIF(Stations!A$2:A$19,H3)&gt;0,"✓","✗ Not Found"))</f>
        <v>✓</v>
      </c>
    </row>
    <row r="4" ht="15.75" customHeight="1">
      <c r="A4" t="s">
        <v>258</v>
      </c>
      <c r="B4" t="s">
        <v>259</v>
      </c>
      <c r="C4" t="s">
        <v>260</v>
      </c>
      <c r="D4" t="s">
        <v>261</v>
      </c>
      <c r="E4">
        <v>100</v>
      </c>
      <c r="F4" t="s">
        <v>244</v>
      </c>
      <c r="G4" t="s">
        <v>245</v>
      </c>
      <c r="H4" t="s">
        <v>165</v>
      </c>
      <c r="I4" t="s">
        <v>120</v>
      </c>
      <c r="J4" s="5" t="s">
        <v>262</v>
      </c>
      <c r="K4">
        <v>60</v>
      </c>
      <c r="L4" t="s">
        <v>6</v>
      </c>
      <c r="M4" t="s">
        <v>263</v>
      </c>
      <c r="N4" s="2" t="str">
        <f>IF(I4="","",IF(COUNTIF(Teams!A$2:A$6,I4)&gt;0,"✓","✗ Not Found"))</f>
        <v>✓</v>
      </c>
      <c r="O4" s="2" t="str">
        <f>IF(H4="","",IF(COUNTIF(Stations!A$2:A$19,H4)&gt;0,"✓","✗ Not Found"))</f>
        <v>✓</v>
      </c>
    </row>
    <row r="5" ht="15.75" customHeight="1">
      <c r="A5" t="s">
        <v>264</v>
      </c>
      <c r="B5" t="s">
        <v>265</v>
      </c>
      <c r="C5" t="s">
        <v>266</v>
      </c>
      <c r="D5" t="s">
        <v>267</v>
      </c>
      <c r="E5">
        <v>10</v>
      </c>
      <c r="F5" t="s">
        <v>268</v>
      </c>
      <c r="G5" t="s">
        <v>245</v>
      </c>
      <c r="H5" t="s">
        <v>6</v>
      </c>
      <c r="I5" t="s">
        <v>108</v>
      </c>
      <c r="J5" s="5" t="s">
        <v>269</v>
      </c>
      <c r="K5">
        <v>180</v>
      </c>
      <c r="L5" t="s">
        <v>270</v>
      </c>
      <c r="M5" t="s">
        <v>271</v>
      </c>
      <c r="N5" s="2" t="str">
        <f>IF(I5="","",IF(COUNTIF(Teams!A$2:A$6,I5)&gt;0,"✓","✗ Not Found"))</f>
        <v>✓</v>
      </c>
      <c r="O5" s="2" t="str">
        <f>IF(H5="","",IF(COUNTIF(Stations!A$2:A$19,H5)&gt;0,"✓","✗ Not Found"))</f>
        <v/>
      </c>
    </row>
    <row r="6" ht="15.75" customHeight="1">
      <c r="A6" t="s">
        <v>272</v>
      </c>
      <c r="B6" t="s">
        <v>273</v>
      </c>
      <c r="C6" t="s">
        <v>274</v>
      </c>
      <c r="D6" t="s">
        <v>243</v>
      </c>
      <c r="E6">
        <v>2</v>
      </c>
      <c r="F6" t="s">
        <v>275</v>
      </c>
      <c r="G6" t="s">
        <v>276</v>
      </c>
      <c r="H6" t="s">
        <v>161</v>
      </c>
      <c r="I6" t="s">
        <v>117</v>
      </c>
      <c r="J6" s="5" t="s">
        <v>277</v>
      </c>
      <c r="K6">
        <v>480</v>
      </c>
      <c r="L6" t="s">
        <v>278</v>
      </c>
      <c r="M6" t="s">
        <v>279</v>
      </c>
      <c r="N6" s="2" t="str">
        <f>IF(I6="","",IF(COUNTIF(Teams!A$2:A$6,I6)&gt;0,"✓","✗ Not Found"))</f>
        <v>✓</v>
      </c>
      <c r="O6" s="2" t="str">
        <f>IF(H6="","",IF(COUNTIF(Stations!A$2:A$19,H6)&gt;0,"✓","✗ Not Found"))</f>
        <v>✓</v>
      </c>
    </row>
  </sheetData>
  <dataValidations count="4">
    <dataValidation allowBlank="1" error="Must be a valid Priority" errorTitle="Invalid Value" showErrorMessage="1" sqref="F2:F100" type="list">
      <formula1>"low,normal,high,urgent,critical"</formula1>
    </dataValidation>
    <dataValidation allowBlank="1" error="Must be a valid Status" errorTitle="Invalid Value" showErrorMessage="1" sqref="G2:G100" type="list">
      <formula1>"pending,queued,in_progress,on_hold"</formula1>
    </dataValidation>
    <dataValidation allowBlank="1" error="Must match a Team Name" errorTitle="Invalid Value" showErrorMessage="1" sqref="I2:I100" type="list">
      <formula1>"Day Shift Team,Night Shift Team,Swing Shift Team,Welding Team,Quality Team"</formula1>
    </dataValidation>
    <dataValidation allowBlank="1" error="Must match a Station ID" errorTitle="Invalid Value" showErrorMessage="1" sqref="H2:H100" type="list">
      <formula1>"CNC-001,CNC-002,LATHE-001,WJ-001,WELD-001,INSP-001,SAW-001,DEB-001,PKG-001,CMM-001,QUOTE-001,ENG-001,CAM-001,PUR-001,REC-001,TOOL-001,FINSP-001,GRIND-001,ASSY-001"</formula1>
    </dataValidation>
  </dataValidations>
  <printOptions/>
  <pageMargins left="0.7" right="0.7" top="0.75" bottom="0.75" header="0.3" footer="0.3"/>
  <pageSetup paperSize="1" pageOrder="downThenOver" orientation="portrait"/>
  <headerFooter>
    <oddHeader>&amp;L&amp;C&amp;R</oddHeader>
    <oddFooter>&amp;L&amp;C&amp;R</oddFooter>
  </headerFooter>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9D5E5098-1958-336C-21B8-8E70A4DA9BD7}" mc:Ignorable="x14ac xr xr2 xr3">
  <dimension ref="A1:CV10000"/>
  <sheetViews>
    <sheetView topLeftCell="A1" workbookViewId="0">
      <selection activeCell="A1" sqref="A1"/>
    </sheetView>
  </sheetViews>
  <sheetFormatPr defaultRowHeight="15" defaultColWidth="9.140625" customHeight="1"/>
  <cols>
    <col min="1" max="1" width="30.00390625" customWidth="1"/>
    <col min="2" max="2" width="80.00390625" customWidth="1"/>
  </cols>
  <sheetData>
    <row r="1" ht="15" customHeight="1" s="3" customFormat="1">
      <c r="A1" s="4" t="s">
        <v>1</v>
      </c>
      <c r="B1" s="4" t="s">
        <v>3</v>
      </c>
    </row>
    <row r="2" ht="15" customHeight="1">
      <c r="A2" t="s">
        <v>61</v>
      </c>
      <c r="B2" t="s">
        <v>62</v>
      </c>
    </row>
    <row r="3" ht="15" customHeight="1">
      <c r="A3" t="s">
        <v>64</v>
      </c>
      <c r="B3" t="s">
        <v>65</v>
      </c>
    </row>
  </sheetData>
  <printOptions/>
  <pageMargins left="0.7" right="0.7" top="0.75" bottom="0.75" header="0.3" footer="0.3"/>
  <pageSetup paperSize="1" pageOrder="downThenOver" orientation="portrait"/>
  <headerFooter>
    <oddHeader>&amp;L&amp;C&amp;R</oddHeader>
    <oddFooter>&amp;L&amp;C&amp;R</oddFooter>
  </headerFooter>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7816D128-D1F8-80B8-2DDE-4730D4F9CCB4}" mc:Ignorable="x14ac xr xr2 xr3">
  <dimension ref="A1:CV10000"/>
  <sheetViews>
    <sheetView topLeftCell="A1" workbookViewId="0">
      <selection activeCell="A1" sqref="A1"/>
    </sheetView>
  </sheetViews>
  <sheetFormatPr defaultRowHeight="15" defaultColWidth="9.140625" customHeight="1"/>
  <cols>
    <col min="1" max="1" width="24.00390625" customWidth="1"/>
    <col min="2" max="2" width="21.00390625" customWidth="1"/>
    <col min="3" max="3" width="8.00390625" customWidth="1"/>
    <col min="4" max="4" width="26.00390625" customWidth="1"/>
    <col min="5" max="5" width="20.00390625" customWidth="1"/>
    <col min="6" max="8" width="21.00390625" customWidth="1"/>
    <col min="9" max="9" width="49.00390625" customWidth="1"/>
  </cols>
  <sheetData>
    <row r="1" ht="15.75" customHeight="1" s="1" customFormat="1">
      <c r="A1" s="1" t="s">
        <v>76</v>
      </c>
      <c r="B1" s="1" t="s">
        <v>78</v>
      </c>
      <c r="C1" s="1" t="s">
        <v>80</v>
      </c>
      <c r="D1" s="1" t="s">
        <v>82</v>
      </c>
      <c r="E1" s="1" t="s">
        <v>84</v>
      </c>
      <c r="F1" s="1" t="s">
        <v>26</v>
      </c>
      <c r="G1" s="1" t="s">
        <v>87</v>
      </c>
      <c r="H1" s="1" t="s">
        <v>89</v>
      </c>
      <c r="I1" s="1" t="s">
        <v>91</v>
      </c>
    </row>
    <row r="2" ht="15.75" customHeight="1">
      <c r="A2" t="s">
        <v>280</v>
      </c>
      <c r="B2" t="s">
        <v>281</v>
      </c>
      <c r="C2">
        <v>1</v>
      </c>
      <c r="D2" t="s">
        <v>282</v>
      </c>
      <c r="E2" t="s">
        <v>283</v>
      </c>
      <c r="F2" t="s">
        <v>184</v>
      </c>
      <c r="G2">
        <v>30</v>
      </c>
      <c r="H2" t="s">
        <v>6</v>
      </c>
      <c r="I2" t="s">
        <v>284</v>
      </c>
    </row>
    <row r="3" ht="15.75" customHeight="1">
      <c r="A3" t="s">
        <v>280</v>
      </c>
      <c r="B3" t="s">
        <v>281</v>
      </c>
      <c r="C3">
        <v>2</v>
      </c>
      <c r="D3" t="s">
        <v>189</v>
      </c>
      <c r="E3" t="s">
        <v>285</v>
      </c>
      <c r="F3" t="s">
        <v>188</v>
      </c>
      <c r="G3">
        <v>60</v>
      </c>
      <c r="H3" t="s">
        <v>6</v>
      </c>
      <c r="I3" t="s">
        <v>286</v>
      </c>
    </row>
    <row r="4" ht="15.75" customHeight="1">
      <c r="A4" t="s">
        <v>280</v>
      </c>
      <c r="B4" t="s">
        <v>281</v>
      </c>
      <c r="C4">
        <v>3</v>
      </c>
      <c r="D4" t="s">
        <v>287</v>
      </c>
      <c r="E4" t="s">
        <v>285</v>
      </c>
      <c r="F4" t="s">
        <v>188</v>
      </c>
      <c r="G4">
        <v>120</v>
      </c>
      <c r="H4" t="s">
        <v>6</v>
      </c>
      <c r="I4" t="s">
        <v>288</v>
      </c>
    </row>
    <row r="5" ht="15.75" customHeight="1">
      <c r="A5" t="s">
        <v>280</v>
      </c>
      <c r="B5" t="s">
        <v>281</v>
      </c>
      <c r="C5">
        <v>4</v>
      </c>
      <c r="D5" t="s">
        <v>289</v>
      </c>
      <c r="E5" t="s">
        <v>290</v>
      </c>
      <c r="F5" t="s">
        <v>184</v>
      </c>
      <c r="G5">
        <v>30</v>
      </c>
      <c r="H5" t="s">
        <v>6</v>
      </c>
      <c r="I5" t="s">
        <v>291</v>
      </c>
    </row>
    <row r="6" ht="15.75" customHeight="1">
      <c r="A6" t="s">
        <v>280</v>
      </c>
      <c r="B6" t="s">
        <v>281</v>
      </c>
      <c r="C6">
        <v>5</v>
      </c>
      <c r="D6" t="s">
        <v>292</v>
      </c>
      <c r="E6" t="s">
        <v>293</v>
      </c>
      <c r="F6" t="s">
        <v>198</v>
      </c>
      <c r="G6">
        <v>15</v>
      </c>
      <c r="H6" t="s">
        <v>6</v>
      </c>
      <c r="I6" t="s">
        <v>294</v>
      </c>
    </row>
    <row r="7" ht="15.75" customHeight="1">
      <c r="A7" t="s">
        <v>280</v>
      </c>
      <c r="B7" t="s">
        <v>281</v>
      </c>
      <c r="C7">
        <v>6</v>
      </c>
      <c r="D7" t="s">
        <v>181</v>
      </c>
      <c r="E7" t="s">
        <v>295</v>
      </c>
      <c r="F7" t="s">
        <v>167</v>
      </c>
      <c r="G7">
        <v>30</v>
      </c>
      <c r="H7" t="s">
        <v>6</v>
      </c>
      <c r="I7" t="s">
        <v>296</v>
      </c>
    </row>
    <row r="8" ht="15.75" customHeight="1">
      <c r="A8" t="s">
        <v>280</v>
      </c>
      <c r="B8" t="s">
        <v>281</v>
      </c>
      <c r="C8">
        <v>7</v>
      </c>
      <c r="D8" t="s">
        <v>297</v>
      </c>
      <c r="E8" t="s">
        <v>298</v>
      </c>
      <c r="F8" t="s">
        <v>159</v>
      </c>
      <c r="G8">
        <v>30</v>
      </c>
      <c r="H8" t="s">
        <v>6</v>
      </c>
      <c r="I8" t="s">
        <v>299</v>
      </c>
    </row>
    <row r="9" ht="15.75" customHeight="1">
      <c r="A9" t="s">
        <v>280</v>
      </c>
      <c r="B9" t="s">
        <v>281</v>
      </c>
      <c r="C9">
        <v>8</v>
      </c>
      <c r="D9" t="s">
        <v>300</v>
      </c>
      <c r="E9" t="s">
        <v>298</v>
      </c>
      <c r="F9" t="s">
        <v>202</v>
      </c>
      <c r="G9">
        <v>45</v>
      </c>
      <c r="H9" t="s">
        <v>6</v>
      </c>
      <c r="I9" t="s">
        <v>301</v>
      </c>
    </row>
    <row r="10" ht="15.75" customHeight="1">
      <c r="A10" t="s">
        <v>280</v>
      </c>
      <c r="B10" t="s">
        <v>281</v>
      </c>
      <c r="C10">
        <v>9</v>
      </c>
      <c r="D10" t="s">
        <v>302</v>
      </c>
      <c r="E10" t="s">
        <v>298</v>
      </c>
      <c r="F10" t="s">
        <v>148</v>
      </c>
      <c r="G10">
        <v>90</v>
      </c>
      <c r="H10" t="s">
        <v>6</v>
      </c>
      <c r="I10" t="s">
        <v>303</v>
      </c>
    </row>
    <row r="11" ht="15.75" customHeight="1">
      <c r="A11" t="s">
        <v>280</v>
      </c>
      <c r="B11" t="s">
        <v>281</v>
      </c>
      <c r="C11">
        <v>10</v>
      </c>
      <c r="D11" t="s">
        <v>304</v>
      </c>
      <c r="E11" t="s">
        <v>295</v>
      </c>
      <c r="F11" t="s">
        <v>167</v>
      </c>
      <c r="G11">
        <v>60</v>
      </c>
      <c r="H11" t="s">
        <v>6</v>
      </c>
      <c r="I11" t="s">
        <v>305</v>
      </c>
    </row>
    <row r="12" ht="15.75" customHeight="1">
      <c r="A12" t="s">
        <v>280</v>
      </c>
      <c r="B12" t="s">
        <v>281</v>
      </c>
      <c r="C12">
        <v>11</v>
      </c>
      <c r="D12" t="s">
        <v>306</v>
      </c>
      <c r="E12" t="s">
        <v>298</v>
      </c>
      <c r="F12" t="s">
        <v>148</v>
      </c>
      <c r="G12">
        <v>240</v>
      </c>
      <c r="H12" t="s">
        <v>6</v>
      </c>
      <c r="I12" t="s">
        <v>307</v>
      </c>
    </row>
    <row r="13" ht="15.75" customHeight="1">
      <c r="A13" t="s">
        <v>280</v>
      </c>
      <c r="B13" t="s">
        <v>281</v>
      </c>
      <c r="C13">
        <v>12</v>
      </c>
      <c r="D13" t="s">
        <v>308</v>
      </c>
      <c r="E13" t="s">
        <v>298</v>
      </c>
      <c r="F13" t="s">
        <v>174</v>
      </c>
      <c r="G13">
        <v>30</v>
      </c>
      <c r="H13" t="s">
        <v>6</v>
      </c>
      <c r="I13" t="s">
        <v>309</v>
      </c>
    </row>
    <row r="14" ht="15.75" customHeight="1">
      <c r="A14" t="s">
        <v>280</v>
      </c>
      <c r="B14" t="s">
        <v>281</v>
      </c>
      <c r="C14">
        <v>13</v>
      </c>
      <c r="D14" t="s">
        <v>310</v>
      </c>
      <c r="E14" t="s">
        <v>311</v>
      </c>
      <c r="F14" t="s">
        <v>6</v>
      </c>
      <c r="G14">
        <v>480</v>
      </c>
      <c r="H14" t="s">
        <v>312</v>
      </c>
      <c r="I14" t="s">
        <v>313</v>
      </c>
    </row>
    <row r="15" ht="15.75" customHeight="1">
      <c r="A15" t="s">
        <v>280</v>
      </c>
      <c r="B15" t="s">
        <v>281</v>
      </c>
      <c r="C15">
        <v>14</v>
      </c>
      <c r="D15" t="s">
        <v>206</v>
      </c>
      <c r="E15" t="s">
        <v>295</v>
      </c>
      <c r="F15" t="s">
        <v>167</v>
      </c>
      <c r="G15">
        <v>30</v>
      </c>
      <c r="H15" t="s">
        <v>6</v>
      </c>
      <c r="I15" t="s">
        <v>314</v>
      </c>
    </row>
    <row r="16" ht="15.75" customHeight="1">
      <c r="A16" t="s">
        <v>280</v>
      </c>
      <c r="B16" t="s">
        <v>281</v>
      </c>
      <c r="C16">
        <v>15</v>
      </c>
      <c r="D16" t="s">
        <v>315</v>
      </c>
      <c r="E16" t="s">
        <v>298</v>
      </c>
      <c r="F16" t="s">
        <v>178</v>
      </c>
      <c r="G16">
        <v>15</v>
      </c>
      <c r="H16" t="s">
        <v>6</v>
      </c>
      <c r="I16" t="s">
        <v>316</v>
      </c>
    </row>
    <row r="17" ht="15.75" customHeight="1">
      <c r="A17" t="s">
        <v>280</v>
      </c>
      <c r="B17" t="s">
        <v>281</v>
      </c>
      <c r="C17">
        <v>16</v>
      </c>
      <c r="D17" t="s">
        <v>317</v>
      </c>
      <c r="E17" t="s">
        <v>318</v>
      </c>
      <c r="F17" t="s">
        <v>178</v>
      </c>
      <c r="G17">
        <v>15</v>
      </c>
      <c r="H17" t="s">
        <v>6</v>
      </c>
      <c r="I17" t="s">
        <v>319</v>
      </c>
    </row>
  </sheetData>
  <dataValidations count="1">
    <dataValidation allowBlank="1" error="Must be a valid Type" errorTitle="Invalid Value" showErrorMessage="1" sqref="E2:E100" type="list">
      <formula1>"quote,engineering,purchasing,receiving,internal,outside_processing,inspection,shipping"</formula1>
    </dataValidation>
  </dataValidations>
  <printOptions/>
  <pageMargins left="0.7" right="0.7" top="0.75" bottom="0.75" header="0.3" footer="0.3"/>
  <pageSetup paperSize="1" pageOrder="downThenOver" orientation="portrait"/>
  <headerFooter>
    <oddHeader>&amp;L&amp;C&amp;R</oddHeader>
    <oddFooter>&amp;L&amp;C&amp;R</oddFooter>
  </headerFooter>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AF70A2A1-2ECA-5B78-6E88-11C9D949A328}" mc:Ignorable="x14ac xr xr2 xr3">
  <dimension ref="A1:CV10000"/>
  <sheetViews>
    <sheetView topLeftCell="A1" workbookViewId="0">
      <selection activeCell="A1" sqref="A1"/>
    </sheetView>
  </sheetViews>
  <sheetFormatPr defaultRowHeight="15" defaultColWidth="9.140625" customHeight="1"/>
  <cols>
    <col min="1" max="1" width="30.00390625" customWidth="1"/>
    <col min="2" max="2" width="80.00390625" customWidth="1"/>
  </cols>
  <sheetData>
    <row r="1" ht="15" customHeight="1" s="3" customFormat="1">
      <c r="A1" s="4" t="s">
        <v>1</v>
      </c>
      <c r="B1" s="4" t="s">
        <v>3</v>
      </c>
    </row>
    <row r="2" ht="15" customHeight="1">
      <c r="A2" t="s">
        <v>84</v>
      </c>
      <c r="B2" t="s">
        <v>320</v>
      </c>
    </row>
  </sheetData>
  <printOptions/>
  <pageMargins left="0.7" right="0.7" top="0.75" bottom="0.75" header="0.3" footer="0.3"/>
  <pageSetup paperSize="1" pageOrder="downThenOver" orientation="portrait"/>
  <headerFooter>
    <oddHeader>&amp;L&amp;C&amp;R</oddHeader>
    <oddFooter>&amp;L&amp;C&amp;R</oddFooter>
  </headerFooter>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Teams</vt:lpstr>
      <vt:lpstr>Departments</vt:lpstr>
      <vt:lpstr>Stations</vt:lpstr>
      <vt:lpstr>Stations - Valid Values</vt:lpstr>
      <vt:lpstr>Users</vt:lpstr>
      <vt:lpstr>Users - Valid Values</vt:lpstr>
      <vt:lpstr>Work Orders</vt:lpstr>
      <vt:lpstr>Work Orders - Valid Values</vt:lpstr>
      <vt:lpstr>Routing Templates</vt:lpstr>
      <vt:lpstr>Routing Templates - Valid Value</vt:lpstr>
    </vt:vector>
  </TitlesOfParts>
  <Company>Shortcut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Shortcut</dc:creator>
  <dc:title/>
  <dc:subject/>
  <dc:description/>
  <cp:keywords/>
  <cp:category/>
  <cp:lastModifiedBy>Shortcut</cp:lastModifiedBy>
  <dcterms:created xsi:type="dcterms:W3CDTF">2026-02-06T08:24:32Z</dcterms:created>
  <dcterms:modified xsi:type="dcterms:W3CDTF">2026-02-06T08:24:32Z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4e55dc99-f889-4fba-bc14-632993f785c9</vt:lpwstr>
  </property>
</Properties>
</file>